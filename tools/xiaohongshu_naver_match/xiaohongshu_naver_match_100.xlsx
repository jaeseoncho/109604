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칭목록" sheetId="1" state="visible" r:id="rId1"/>
    <sheet name="요약" sheetId="2" state="visible" r:id="rId2"/>
    <sheet name="사용법" sheetId="3" state="visible" r:id="rId3"/>
  </sheets>
  <definedNames>
    <definedName name="_xlnm._FilterDatabase" localSheetId="0" hidden="1">'매칭목록'!$A$1:$O$101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color rgb="000000FF"/>
    </font>
    <font>
      <name val="맑은 고딕"/>
      <color theme="1"/>
    </font>
    <font>
      <name val="맑은 고딕"/>
      <color rgb="000563C1"/>
      <u val="single"/>
    </font>
    <font>
      <name val="맑은 고딕"/>
      <b val="1"/>
      <color rgb="00FFFFFF"/>
    </font>
    <font>
      <name val="맑은 고딕"/>
    </font>
    <font>
      <name val="맑은 고딕"/>
      <i val="1"/>
      <color rgb="00666666"/>
    </font>
    <font>
      <name val="맑은 고딕"/>
      <b val="1"/>
      <color rgb="00004E82"/>
      <sz val="14"/>
    </font>
    <font>
      <name val="맑은 고딕"/>
      <sz val="11"/>
    </font>
    <font>
      <name val="맑은 고딕"/>
      <b val="1"/>
      <color rgb="00004E82"/>
      <sz val="11"/>
    </font>
  </fonts>
  <fills count="4">
    <fill>
      <patternFill/>
    </fill>
    <fill>
      <patternFill patternType="gray125"/>
    </fill>
    <fill>
      <patternFill patternType="solid">
        <fgColor rgb="00004E82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3" fontId="3" fillId="0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0" fontId="5" fillId="2" borderId="1" pivotButton="0" quotePrefix="0" xfId="0"/>
    <xf numFmtId="0" fontId="5" fillId="2" borderId="1" applyAlignment="1" pivotButton="0" quotePrefix="0" xfId="0">
      <alignment horizontal="right"/>
    </xf>
    <xf numFmtId="0" fontId="6" fillId="0" borderId="1" pivotButton="0" quotePrefix="0" xfId="0"/>
    <xf numFmtId="0" fontId="6" fillId="0" borderId="1" applyAlignment="1" pivotButton="0" quotePrefix="0" xfId="0">
      <alignment horizontal="right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0" customWidth="1" min="3" max="3"/>
    <col width="18" customWidth="1" min="4" max="4"/>
    <col width="20" customWidth="1" min="5" max="5"/>
    <col width="22" customWidth="1" min="6" max="6"/>
    <col width="42" customWidth="1" min="7" max="7"/>
    <col width="30" customWidth="1" min="8" max="8"/>
    <col width="42" customWidth="1" min="9" max="9"/>
    <col width="30" customWidth="1" min="10" max="10"/>
    <col width="12" customWidth="1" min="11" max="11"/>
    <col width="11" customWidth="1" min="12" max="12"/>
    <col width="16" customWidth="1" min="13" max="13"/>
    <col width="12" customWidth="1" min="14" max="14"/>
    <col width="30" customWidth="1" min="15" max="15"/>
  </cols>
  <sheetData>
    <row r="1" ht="32" customHeight="1">
      <c r="A1" s="1" t="inlineStr">
        <is>
          <t>번호</t>
        </is>
      </c>
      <c r="B1" s="1" t="inlineStr">
        <is>
          <t>제품 분류</t>
        </is>
      </c>
      <c r="C1" s="1" t="inlineStr">
        <is>
          <t>한국어 검색어</t>
        </is>
      </c>
      <c r="D1" s="1" t="inlineStr">
        <is>
          <t>중국어 검색어</t>
        </is>
      </c>
      <c r="E1" s="1" t="inlineStr">
        <is>
          <t>샤오홍슈 검색 링크</t>
        </is>
      </c>
      <c r="F1" s="1" t="inlineStr">
        <is>
          <t>네이버쇼핑 검색 링크</t>
        </is>
      </c>
      <c r="G1" s="1" t="inlineStr">
        <is>
          <t>샤오홍슈 영상 URL</t>
        </is>
      </c>
      <c r="H1" s="1" t="inlineStr">
        <is>
          <t>영상 내용 요약</t>
        </is>
      </c>
      <c r="I1" s="1" t="inlineStr">
        <is>
          <t>네이버 상품 URL</t>
        </is>
      </c>
      <c r="J1" s="1" t="inlineStr">
        <is>
          <t>네이버 상품명</t>
        </is>
      </c>
      <c r="K1" s="1" t="inlineStr">
        <is>
          <t>판매가(원)</t>
        </is>
      </c>
      <c r="L1" s="1" t="inlineStr">
        <is>
          <t>일치 여부</t>
        </is>
      </c>
      <c r="M1" s="1" t="inlineStr">
        <is>
          <t>사용 허가 확인</t>
        </is>
      </c>
      <c r="N1" s="1" t="inlineStr">
        <is>
          <t>확인일</t>
        </is>
      </c>
      <c r="O1" s="1" t="inlineStr">
        <is>
          <t>메모</t>
        </is>
      </c>
    </row>
    <row r="2">
      <c r="A2" s="2" t="n">
        <v>1</v>
      </c>
      <c r="B2" s="2" t="inlineStr">
        <is>
          <t>에어컨·냉난방</t>
        </is>
      </c>
      <c r="C2" s="3" t="inlineStr">
        <is>
          <t>에어컨 커버</t>
        </is>
      </c>
      <c r="D2" s="3" t="inlineStr">
        <is>
          <t>空调防尘罩</t>
        </is>
      </c>
      <c r="E2" s="4">
        <f>HYPERLINK("https://www.xiaohongshu.com/search_result?keyword="&amp;D2,"샤오홍슈 검색 열기")</f>
        <v/>
      </c>
      <c r="F2" s="4">
        <f>HYPERLINK("https://search.shopping.naver.com/search/all?query="&amp;C2,"네이버쇼핑 검색 열기")</f>
        <v/>
      </c>
      <c r="G2" s="5" t="n"/>
      <c r="H2" s="6" t="n"/>
      <c r="I2" s="5" t="n"/>
      <c r="J2" s="6" t="n"/>
      <c r="K2" s="7" t="n"/>
      <c r="L2" s="2" t="inlineStr">
        <is>
          <t>미확인</t>
        </is>
      </c>
      <c r="M2" s="2" t="inlineStr">
        <is>
          <t>미확인</t>
        </is>
      </c>
      <c r="N2" s="8" t="n"/>
      <c r="O2" s="6" t="n"/>
    </row>
    <row r="3">
      <c r="A3" s="2" t="n">
        <v>2</v>
      </c>
      <c r="B3" s="2" t="inlineStr">
        <is>
          <t>에어컨·냉난방</t>
        </is>
      </c>
      <c r="C3" s="3" t="inlineStr">
        <is>
          <t>실외기 커버</t>
        </is>
      </c>
      <c r="D3" s="3" t="inlineStr">
        <is>
          <t>空调外机罩</t>
        </is>
      </c>
      <c r="E3" s="4">
        <f>HYPERLINK("https://www.xiaohongshu.com/search_result?keyword="&amp;D3,"샤오홍슈 검색 열기")</f>
        <v/>
      </c>
      <c r="F3" s="4">
        <f>HYPERLINK("https://search.shopping.naver.com/search/all?query="&amp;C3,"네이버쇼핑 검색 열기")</f>
        <v/>
      </c>
      <c r="G3" s="5" t="n"/>
      <c r="H3" s="6" t="n"/>
      <c r="I3" s="5" t="n"/>
      <c r="J3" s="6" t="n"/>
      <c r="K3" s="7" t="n"/>
      <c r="L3" s="2" t="inlineStr">
        <is>
          <t>미확인</t>
        </is>
      </c>
      <c r="M3" s="2" t="inlineStr">
        <is>
          <t>미확인</t>
        </is>
      </c>
      <c r="N3" s="8" t="n"/>
      <c r="O3" s="6" t="n"/>
    </row>
    <row r="4">
      <c r="A4" s="2" t="n">
        <v>3</v>
      </c>
      <c r="B4" s="2" t="inlineStr">
        <is>
          <t>에어컨·냉난방</t>
        </is>
      </c>
      <c r="C4" s="3" t="inlineStr">
        <is>
          <t>에어컨 리모컨</t>
        </is>
      </c>
      <c r="D4" s="3" t="inlineStr">
        <is>
          <t>空调遥控器</t>
        </is>
      </c>
      <c r="E4" s="4">
        <f>HYPERLINK("https://www.xiaohongshu.com/search_result?keyword="&amp;D4,"샤오홍슈 검색 열기")</f>
        <v/>
      </c>
      <c r="F4" s="4">
        <f>HYPERLINK("https://search.shopping.naver.com/search/all?query="&amp;C4,"네이버쇼핑 검색 열기")</f>
        <v/>
      </c>
      <c r="G4" s="5" t="n"/>
      <c r="H4" s="6" t="n"/>
      <c r="I4" s="5" t="n"/>
      <c r="J4" s="6" t="n"/>
      <c r="K4" s="7" t="n"/>
      <c r="L4" s="2" t="inlineStr">
        <is>
          <t>미확인</t>
        </is>
      </c>
      <c r="M4" s="2" t="inlineStr">
        <is>
          <t>미확인</t>
        </is>
      </c>
      <c r="N4" s="8" t="n"/>
      <c r="O4" s="6" t="n"/>
    </row>
    <row r="5">
      <c r="A5" s="2" t="n">
        <v>4</v>
      </c>
      <c r="B5" s="2" t="inlineStr">
        <is>
          <t>에어컨·냉난방</t>
        </is>
      </c>
      <c r="C5" s="3" t="inlineStr">
        <is>
          <t>에어컨 필터</t>
        </is>
      </c>
      <c r="D5" s="3" t="inlineStr">
        <is>
          <t>空调过滤网</t>
        </is>
      </c>
      <c r="E5" s="4">
        <f>HYPERLINK("https://www.xiaohongshu.com/search_result?keyword="&amp;D5,"샤오홍슈 검색 열기")</f>
        <v/>
      </c>
      <c r="F5" s="4">
        <f>HYPERLINK("https://search.shopping.naver.com/search/all?query="&amp;C5,"네이버쇼핑 검색 열기")</f>
        <v/>
      </c>
      <c r="G5" s="5" t="n"/>
      <c r="H5" s="6" t="n"/>
      <c r="I5" s="5" t="n"/>
      <c r="J5" s="6" t="n"/>
      <c r="K5" s="7" t="n"/>
      <c r="L5" s="2" t="inlineStr">
        <is>
          <t>미확인</t>
        </is>
      </c>
      <c r="M5" s="2" t="inlineStr">
        <is>
          <t>미확인</t>
        </is>
      </c>
      <c r="N5" s="8" t="n"/>
      <c r="O5" s="6" t="n"/>
    </row>
    <row r="6">
      <c r="A6" s="2" t="n">
        <v>5</v>
      </c>
      <c r="B6" s="2" t="inlineStr">
        <is>
          <t>에어컨·냉난방</t>
        </is>
      </c>
      <c r="C6" s="3" t="inlineStr">
        <is>
          <t>에어컨 배관 커버</t>
        </is>
      </c>
      <c r="D6" s="3" t="inlineStr">
        <is>
          <t>空调管道装饰罩</t>
        </is>
      </c>
      <c r="E6" s="4">
        <f>HYPERLINK("https://www.xiaohongshu.com/search_result?keyword="&amp;D6,"샤오홍슈 검색 열기")</f>
        <v/>
      </c>
      <c r="F6" s="4">
        <f>HYPERLINK("https://search.shopping.naver.com/search/all?query="&amp;C6,"네이버쇼핑 검색 열기")</f>
        <v/>
      </c>
      <c r="G6" s="5" t="n"/>
      <c r="H6" s="6" t="n"/>
      <c r="I6" s="5" t="n"/>
      <c r="J6" s="6" t="n"/>
      <c r="K6" s="7" t="n"/>
      <c r="L6" s="2" t="inlineStr">
        <is>
          <t>미확인</t>
        </is>
      </c>
      <c r="M6" s="2" t="inlineStr">
        <is>
          <t>미확인</t>
        </is>
      </c>
      <c r="N6" s="8" t="n"/>
      <c r="O6" s="6" t="n"/>
    </row>
    <row r="7">
      <c r="A7" s="2" t="n">
        <v>6</v>
      </c>
      <c r="B7" s="2" t="inlineStr">
        <is>
          <t>에어컨·냉난방</t>
        </is>
      </c>
      <c r="C7" s="3" t="inlineStr">
        <is>
          <t>에어컨 배수 호스</t>
        </is>
      </c>
      <c r="D7" s="3" t="inlineStr">
        <is>
          <t>空调排水管</t>
        </is>
      </c>
      <c r="E7" s="4">
        <f>HYPERLINK("https://www.xiaohongshu.com/search_result?keyword="&amp;D7,"샤오홍슈 검색 열기")</f>
        <v/>
      </c>
      <c r="F7" s="4">
        <f>HYPERLINK("https://search.shopping.naver.com/search/all?query="&amp;C7,"네이버쇼핑 검색 열기")</f>
        <v/>
      </c>
      <c r="G7" s="5" t="n"/>
      <c r="H7" s="6" t="n"/>
      <c r="I7" s="5" t="n"/>
      <c r="J7" s="6" t="n"/>
      <c r="K7" s="7" t="n"/>
      <c r="L7" s="2" t="inlineStr">
        <is>
          <t>미확인</t>
        </is>
      </c>
      <c r="M7" s="2" t="inlineStr">
        <is>
          <t>미확인</t>
        </is>
      </c>
      <c r="N7" s="8" t="n"/>
      <c r="O7" s="6" t="n"/>
    </row>
    <row r="8">
      <c r="A8" s="2" t="n">
        <v>7</v>
      </c>
      <c r="B8" s="2" t="inlineStr">
        <is>
          <t>에어컨·냉난방</t>
        </is>
      </c>
      <c r="C8" s="3" t="inlineStr">
        <is>
          <t>에어컨 바람막이</t>
        </is>
      </c>
      <c r="D8" s="3" t="inlineStr">
        <is>
          <t>空调挡风板</t>
        </is>
      </c>
      <c r="E8" s="4">
        <f>HYPERLINK("https://www.xiaohongshu.com/search_result?keyword="&amp;D8,"샤오홍슈 검색 열기")</f>
        <v/>
      </c>
      <c r="F8" s="4">
        <f>HYPERLINK("https://search.shopping.naver.com/search/all?query="&amp;C8,"네이버쇼핑 검색 열기")</f>
        <v/>
      </c>
      <c r="G8" s="5" t="n"/>
      <c r="H8" s="6" t="n"/>
      <c r="I8" s="5" t="n"/>
      <c r="J8" s="6" t="n"/>
      <c r="K8" s="7" t="n"/>
      <c r="L8" s="2" t="inlineStr">
        <is>
          <t>미확인</t>
        </is>
      </c>
      <c r="M8" s="2" t="inlineStr">
        <is>
          <t>미확인</t>
        </is>
      </c>
      <c r="N8" s="8" t="n"/>
      <c r="O8" s="6" t="n"/>
    </row>
    <row r="9">
      <c r="A9" s="2" t="n">
        <v>8</v>
      </c>
      <c r="B9" s="2" t="inlineStr">
        <is>
          <t>에어컨·냉난방</t>
        </is>
      </c>
      <c r="C9" s="3" t="inlineStr">
        <is>
          <t>에어컨 청소 스프레이</t>
        </is>
      </c>
      <c r="D9" s="3" t="inlineStr">
        <is>
          <t>空调清洗剂</t>
        </is>
      </c>
      <c r="E9" s="4">
        <f>HYPERLINK("https://www.xiaohongshu.com/search_result?keyword="&amp;D9,"샤오홍슈 검색 열기")</f>
        <v/>
      </c>
      <c r="F9" s="4">
        <f>HYPERLINK("https://search.shopping.naver.com/search/all?query="&amp;C9,"네이버쇼핑 검색 열기")</f>
        <v/>
      </c>
      <c r="G9" s="5" t="n"/>
      <c r="H9" s="6" t="n"/>
      <c r="I9" s="5" t="n"/>
      <c r="J9" s="6" t="n"/>
      <c r="K9" s="7" t="n"/>
      <c r="L9" s="2" t="inlineStr">
        <is>
          <t>미확인</t>
        </is>
      </c>
      <c r="M9" s="2" t="inlineStr">
        <is>
          <t>미확인</t>
        </is>
      </c>
      <c r="N9" s="8" t="n"/>
      <c r="O9" s="6" t="n"/>
    </row>
    <row r="10">
      <c r="A10" s="2" t="n">
        <v>9</v>
      </c>
      <c r="B10" s="2" t="inlineStr">
        <is>
          <t>에어컨·냉난방</t>
        </is>
      </c>
      <c r="C10" s="3" t="inlineStr">
        <is>
          <t>에어컨 세척 커버</t>
        </is>
      </c>
      <c r="D10" s="3" t="inlineStr">
        <is>
          <t>空调清洗罩</t>
        </is>
      </c>
      <c r="E10" s="4">
        <f>HYPERLINK("https://www.xiaohongshu.com/search_result?keyword="&amp;D10,"샤오홍슈 검색 열기")</f>
        <v/>
      </c>
      <c r="F10" s="4">
        <f>HYPERLINK("https://search.shopping.naver.com/search/all?query="&amp;C10,"네이버쇼핑 검색 열기")</f>
        <v/>
      </c>
      <c r="G10" s="5" t="n"/>
      <c r="H10" s="6" t="n"/>
      <c r="I10" s="5" t="n"/>
      <c r="J10" s="6" t="n"/>
      <c r="K10" s="7" t="n"/>
      <c r="L10" s="2" t="inlineStr">
        <is>
          <t>미확인</t>
        </is>
      </c>
      <c r="M10" s="2" t="inlineStr">
        <is>
          <t>미확인</t>
        </is>
      </c>
      <c r="N10" s="8" t="n"/>
      <c r="O10" s="6" t="n"/>
    </row>
    <row r="11">
      <c r="A11" s="2" t="n">
        <v>10</v>
      </c>
      <c r="B11" s="2" t="inlineStr">
        <is>
          <t>에어컨·냉난방</t>
        </is>
      </c>
      <c r="C11" s="3" t="inlineStr">
        <is>
          <t>리모컨 홀더</t>
        </is>
      </c>
      <c r="D11" s="3" t="inlineStr">
        <is>
          <t>遥控器收纳架</t>
        </is>
      </c>
      <c r="E11" s="4">
        <f>HYPERLINK("https://www.xiaohongshu.com/search_result?keyword="&amp;D11,"샤오홍슈 검색 열기")</f>
        <v/>
      </c>
      <c r="F11" s="4">
        <f>HYPERLINK("https://search.shopping.naver.com/search/all?query="&amp;C11,"네이버쇼핑 검색 열기")</f>
        <v/>
      </c>
      <c r="G11" s="5" t="n"/>
      <c r="H11" s="6" t="n"/>
      <c r="I11" s="5" t="n"/>
      <c r="J11" s="6" t="n"/>
      <c r="K11" s="7" t="n"/>
      <c r="L11" s="2" t="inlineStr">
        <is>
          <t>미확인</t>
        </is>
      </c>
      <c r="M11" s="2" t="inlineStr">
        <is>
          <t>미확인</t>
        </is>
      </c>
      <c r="N11" s="8" t="n"/>
      <c r="O11" s="6" t="n"/>
    </row>
    <row r="12">
      <c r="A12" s="2" t="n">
        <v>11</v>
      </c>
      <c r="B12" s="2" t="inlineStr">
        <is>
          <t>에어컨·냉난방</t>
        </is>
      </c>
      <c r="C12" s="3" t="inlineStr">
        <is>
          <t>실외기 받침대</t>
        </is>
      </c>
      <c r="D12" s="3" t="inlineStr">
        <is>
          <t>空调外机支架</t>
        </is>
      </c>
      <c r="E12" s="4">
        <f>HYPERLINK("https://www.xiaohongshu.com/search_result?keyword="&amp;D12,"샤오홍슈 검색 열기")</f>
        <v/>
      </c>
      <c r="F12" s="4">
        <f>HYPERLINK("https://search.shopping.naver.com/search/all?query="&amp;C12,"네이버쇼핑 검색 열기")</f>
        <v/>
      </c>
      <c r="G12" s="5" t="n"/>
      <c r="H12" s="6" t="n"/>
      <c r="I12" s="5" t="n"/>
      <c r="J12" s="6" t="n"/>
      <c r="K12" s="7" t="n"/>
      <c r="L12" s="2" t="inlineStr">
        <is>
          <t>미확인</t>
        </is>
      </c>
      <c r="M12" s="2" t="inlineStr">
        <is>
          <t>미확인</t>
        </is>
      </c>
      <c r="N12" s="8" t="n"/>
      <c r="O12" s="6" t="n"/>
    </row>
    <row r="13">
      <c r="A13" s="2" t="n">
        <v>12</v>
      </c>
      <c r="B13" s="2" t="inlineStr">
        <is>
          <t>에어컨·냉난방</t>
        </is>
      </c>
      <c r="C13" s="3" t="inlineStr">
        <is>
          <t>실외기 방진 패드</t>
        </is>
      </c>
      <c r="D13" s="3" t="inlineStr">
        <is>
          <t>空调减震垫</t>
        </is>
      </c>
      <c r="E13" s="4">
        <f>HYPERLINK("https://www.xiaohongshu.com/search_result?keyword="&amp;D13,"샤오홍슈 검색 열기")</f>
        <v/>
      </c>
      <c r="F13" s="4">
        <f>HYPERLINK("https://search.shopping.naver.com/search/all?query="&amp;C13,"네이버쇼핑 검색 열기")</f>
        <v/>
      </c>
      <c r="G13" s="5" t="n"/>
      <c r="H13" s="6" t="n"/>
      <c r="I13" s="5" t="n"/>
      <c r="J13" s="6" t="n"/>
      <c r="K13" s="7" t="n"/>
      <c r="L13" s="2" t="inlineStr">
        <is>
          <t>미확인</t>
        </is>
      </c>
      <c r="M13" s="2" t="inlineStr">
        <is>
          <t>미확인</t>
        </is>
      </c>
      <c r="N13" s="8" t="n"/>
      <c r="O13" s="6" t="n"/>
    </row>
    <row r="14">
      <c r="A14" s="2" t="n">
        <v>13</v>
      </c>
      <c r="B14" s="2" t="inlineStr">
        <is>
          <t>에어컨·냉난방</t>
        </is>
      </c>
      <c r="C14" s="3" t="inlineStr">
        <is>
          <t>타이머 콘센트</t>
        </is>
      </c>
      <c r="D14" s="3" t="inlineStr">
        <is>
          <t>定时插座</t>
        </is>
      </c>
      <c r="E14" s="4">
        <f>HYPERLINK("https://www.xiaohongshu.com/search_result?keyword="&amp;D14,"샤오홍슈 검색 열기")</f>
        <v/>
      </c>
      <c r="F14" s="4">
        <f>HYPERLINK("https://search.shopping.naver.com/search/all?query="&amp;C14,"네이버쇼핑 검색 열기")</f>
        <v/>
      </c>
      <c r="G14" s="5" t="n"/>
      <c r="H14" s="6" t="n"/>
      <c r="I14" s="5" t="n"/>
      <c r="J14" s="6" t="n"/>
      <c r="K14" s="7" t="n"/>
      <c r="L14" s="2" t="inlineStr">
        <is>
          <t>미확인</t>
        </is>
      </c>
      <c r="M14" s="2" t="inlineStr">
        <is>
          <t>미확인</t>
        </is>
      </c>
      <c r="N14" s="8" t="n"/>
      <c r="O14" s="6" t="n"/>
    </row>
    <row r="15">
      <c r="A15" s="2" t="n">
        <v>14</v>
      </c>
      <c r="B15" s="2" t="inlineStr">
        <is>
          <t>에어컨·냉난방</t>
        </is>
      </c>
      <c r="C15" s="3" t="inlineStr">
        <is>
          <t>스마트 리모컨 허브</t>
        </is>
      </c>
      <c r="D15" s="3" t="inlineStr">
        <is>
          <t>智能遥控器</t>
        </is>
      </c>
      <c r="E15" s="4">
        <f>HYPERLINK("https://www.xiaohongshu.com/search_result?keyword="&amp;D15,"샤오홍슈 검색 열기")</f>
        <v/>
      </c>
      <c r="F15" s="4">
        <f>HYPERLINK("https://search.shopping.naver.com/search/all?query="&amp;C15,"네이버쇼핑 검색 열기")</f>
        <v/>
      </c>
      <c r="G15" s="5" t="n"/>
      <c r="H15" s="6" t="n"/>
      <c r="I15" s="5" t="n"/>
      <c r="J15" s="6" t="n"/>
      <c r="K15" s="7" t="n"/>
      <c r="L15" s="2" t="inlineStr">
        <is>
          <t>미확인</t>
        </is>
      </c>
      <c r="M15" s="2" t="inlineStr">
        <is>
          <t>미확인</t>
        </is>
      </c>
      <c r="N15" s="8" t="n"/>
      <c r="O15" s="6" t="n"/>
    </row>
    <row r="16">
      <c r="A16" s="2" t="n">
        <v>15</v>
      </c>
      <c r="B16" s="2" t="inlineStr">
        <is>
          <t>에어컨·냉난방</t>
        </is>
      </c>
      <c r="C16" s="3" t="inlineStr">
        <is>
          <t>온습도계</t>
        </is>
      </c>
      <c r="D16" s="3" t="inlineStr">
        <is>
          <t>温湿度计</t>
        </is>
      </c>
      <c r="E16" s="4">
        <f>HYPERLINK("https://www.xiaohongshu.com/search_result?keyword="&amp;D16,"샤오홍슈 검색 열기")</f>
        <v/>
      </c>
      <c r="F16" s="4">
        <f>HYPERLINK("https://search.shopping.naver.com/search/all?query="&amp;C16,"네이버쇼핑 검색 열기")</f>
        <v/>
      </c>
      <c r="G16" s="5" t="n"/>
      <c r="H16" s="6" t="n"/>
      <c r="I16" s="5" t="n"/>
      <c r="J16" s="6" t="n"/>
      <c r="K16" s="7" t="n"/>
      <c r="L16" s="2" t="inlineStr">
        <is>
          <t>미확인</t>
        </is>
      </c>
      <c r="M16" s="2" t="inlineStr">
        <is>
          <t>미확인</t>
        </is>
      </c>
      <c r="N16" s="8" t="n"/>
      <c r="O16" s="6" t="n"/>
    </row>
    <row r="17">
      <c r="A17" s="2" t="n">
        <v>16</v>
      </c>
      <c r="B17" s="2" t="inlineStr">
        <is>
          <t>에어컨·냉난방</t>
        </is>
      </c>
      <c r="C17" s="3" t="inlineStr">
        <is>
          <t>서큘레이터</t>
        </is>
      </c>
      <c r="D17" s="3" t="inlineStr">
        <is>
          <t>空气循环扇</t>
        </is>
      </c>
      <c r="E17" s="4">
        <f>HYPERLINK("https://www.xiaohongshu.com/search_result?keyword="&amp;D17,"샤오홍슈 검색 열기")</f>
        <v/>
      </c>
      <c r="F17" s="4">
        <f>HYPERLINK("https://search.shopping.naver.com/search/all?query="&amp;C17,"네이버쇼핑 검색 열기")</f>
        <v/>
      </c>
      <c r="G17" s="5" t="n"/>
      <c r="H17" s="6" t="n"/>
      <c r="I17" s="5" t="n"/>
      <c r="J17" s="6" t="n"/>
      <c r="K17" s="7" t="n"/>
      <c r="L17" s="2" t="inlineStr">
        <is>
          <t>미확인</t>
        </is>
      </c>
      <c r="M17" s="2" t="inlineStr">
        <is>
          <t>미확인</t>
        </is>
      </c>
      <c r="N17" s="8" t="n"/>
      <c r="O17" s="6" t="n"/>
    </row>
    <row r="18">
      <c r="A18" s="2" t="n">
        <v>17</v>
      </c>
      <c r="B18" s="2" t="inlineStr">
        <is>
          <t>에어컨·냉난방</t>
        </is>
      </c>
      <c r="C18" s="3" t="inlineStr">
        <is>
          <t>탁상 선풍기</t>
        </is>
      </c>
      <c r="D18" s="3" t="inlineStr">
        <is>
          <t>桌面小风扇</t>
        </is>
      </c>
      <c r="E18" s="4">
        <f>HYPERLINK("https://www.xiaohongshu.com/search_result?keyword="&amp;D18,"샤오홍슈 검색 열기")</f>
        <v/>
      </c>
      <c r="F18" s="4">
        <f>HYPERLINK("https://search.shopping.naver.com/search/all?query="&amp;C18,"네이버쇼핑 검색 열기")</f>
        <v/>
      </c>
      <c r="G18" s="5" t="n"/>
      <c r="H18" s="6" t="n"/>
      <c r="I18" s="5" t="n"/>
      <c r="J18" s="6" t="n"/>
      <c r="K18" s="7" t="n"/>
      <c r="L18" s="2" t="inlineStr">
        <is>
          <t>미확인</t>
        </is>
      </c>
      <c r="M18" s="2" t="inlineStr">
        <is>
          <t>미확인</t>
        </is>
      </c>
      <c r="N18" s="8" t="n"/>
      <c r="O18" s="6" t="n"/>
    </row>
    <row r="19">
      <c r="A19" s="2" t="n">
        <v>18</v>
      </c>
      <c r="B19" s="2" t="inlineStr">
        <is>
          <t>에어컨·냉난방</t>
        </is>
      </c>
      <c r="C19" s="3" t="inlineStr">
        <is>
          <t>목걸이 선풍기</t>
        </is>
      </c>
      <c r="D19" s="3" t="inlineStr">
        <is>
          <t>挂脖风扇</t>
        </is>
      </c>
      <c r="E19" s="4">
        <f>HYPERLINK("https://www.xiaohongshu.com/search_result?keyword="&amp;D19,"샤오홍슈 검색 열기")</f>
        <v/>
      </c>
      <c r="F19" s="4">
        <f>HYPERLINK("https://search.shopping.naver.com/search/all?query="&amp;C19,"네이버쇼핑 검색 열기")</f>
        <v/>
      </c>
      <c r="G19" s="5" t="n"/>
      <c r="H19" s="6" t="n"/>
      <c r="I19" s="5" t="n"/>
      <c r="J19" s="6" t="n"/>
      <c r="K19" s="7" t="n"/>
      <c r="L19" s="2" t="inlineStr">
        <is>
          <t>미확인</t>
        </is>
      </c>
      <c r="M19" s="2" t="inlineStr">
        <is>
          <t>미확인</t>
        </is>
      </c>
      <c r="N19" s="8" t="n"/>
      <c r="O19" s="6" t="n"/>
    </row>
    <row r="20">
      <c r="A20" s="2" t="n">
        <v>19</v>
      </c>
      <c r="B20" s="2" t="inlineStr">
        <is>
          <t>에어컨·냉난방</t>
        </is>
      </c>
      <c r="C20" s="3" t="inlineStr">
        <is>
          <t>휴대용 손선풍기</t>
        </is>
      </c>
      <c r="D20" s="3" t="inlineStr">
        <is>
          <t>手持小风扇</t>
        </is>
      </c>
      <c r="E20" s="4">
        <f>HYPERLINK("https://www.xiaohongshu.com/search_result?keyword="&amp;D20,"샤오홍슈 검색 열기")</f>
        <v/>
      </c>
      <c r="F20" s="4">
        <f>HYPERLINK("https://search.shopping.naver.com/search/all?query="&amp;C20,"네이버쇼핑 검색 열기")</f>
        <v/>
      </c>
      <c r="G20" s="5" t="n"/>
      <c r="H20" s="6" t="n"/>
      <c r="I20" s="5" t="n"/>
      <c r="J20" s="6" t="n"/>
      <c r="K20" s="7" t="n"/>
      <c r="L20" s="2" t="inlineStr">
        <is>
          <t>미확인</t>
        </is>
      </c>
      <c r="M20" s="2" t="inlineStr">
        <is>
          <t>미확인</t>
        </is>
      </c>
      <c r="N20" s="8" t="n"/>
      <c r="O20" s="6" t="n"/>
    </row>
    <row r="21">
      <c r="A21" s="2" t="n">
        <v>20</v>
      </c>
      <c r="B21" s="2" t="inlineStr">
        <is>
          <t>에어컨·냉난방</t>
        </is>
      </c>
      <c r="C21" s="3" t="inlineStr">
        <is>
          <t>냉풍기</t>
        </is>
      </c>
      <c r="D21" s="3" t="inlineStr">
        <is>
          <t>冷风机</t>
        </is>
      </c>
      <c r="E21" s="4">
        <f>HYPERLINK("https://www.xiaohongshu.com/search_result?keyword="&amp;D21,"샤오홍슈 검색 열기")</f>
        <v/>
      </c>
      <c r="F21" s="4">
        <f>HYPERLINK("https://search.shopping.naver.com/search/all?query="&amp;C21,"네이버쇼핑 검색 열기")</f>
        <v/>
      </c>
      <c r="G21" s="5" t="n"/>
      <c r="H21" s="6" t="n"/>
      <c r="I21" s="5" t="n"/>
      <c r="J21" s="6" t="n"/>
      <c r="K21" s="7" t="n"/>
      <c r="L21" s="2" t="inlineStr">
        <is>
          <t>미확인</t>
        </is>
      </c>
      <c r="M21" s="2" t="inlineStr">
        <is>
          <t>미확인</t>
        </is>
      </c>
      <c r="N21" s="8" t="n"/>
      <c r="O21" s="6" t="n"/>
    </row>
    <row r="22">
      <c r="A22" s="2" t="n">
        <v>21</v>
      </c>
      <c r="B22" s="2" t="inlineStr">
        <is>
          <t>에어컨·냉난방</t>
        </is>
      </c>
      <c r="C22" s="3" t="inlineStr">
        <is>
          <t>제습기</t>
        </is>
      </c>
      <c r="D22" s="3" t="inlineStr">
        <is>
          <t>除湿机</t>
        </is>
      </c>
      <c r="E22" s="4">
        <f>HYPERLINK("https://www.xiaohongshu.com/search_result?keyword="&amp;D22,"샤오홍슈 검색 열기")</f>
        <v/>
      </c>
      <c r="F22" s="4">
        <f>HYPERLINK("https://search.shopping.naver.com/search/all?query="&amp;C22,"네이버쇼핑 검색 열기")</f>
        <v/>
      </c>
      <c r="G22" s="5" t="n"/>
      <c r="H22" s="6" t="n"/>
      <c r="I22" s="5" t="n"/>
      <c r="J22" s="6" t="n"/>
      <c r="K22" s="7" t="n"/>
      <c r="L22" s="2" t="inlineStr">
        <is>
          <t>미확인</t>
        </is>
      </c>
      <c r="M22" s="2" t="inlineStr">
        <is>
          <t>미확인</t>
        </is>
      </c>
      <c r="N22" s="8" t="n"/>
      <c r="O22" s="6" t="n"/>
    </row>
    <row r="23">
      <c r="A23" s="2" t="n">
        <v>22</v>
      </c>
      <c r="B23" s="2" t="inlineStr">
        <is>
          <t>에어컨·냉난방</t>
        </is>
      </c>
      <c r="C23" s="3" t="inlineStr">
        <is>
          <t>미니 제습기</t>
        </is>
      </c>
      <c r="D23" s="3" t="inlineStr">
        <is>
          <t>迷你除湿器</t>
        </is>
      </c>
      <c r="E23" s="4">
        <f>HYPERLINK("https://www.xiaohongshu.com/search_result?keyword="&amp;D23,"샤오홍슈 검색 열기")</f>
        <v/>
      </c>
      <c r="F23" s="4">
        <f>HYPERLINK("https://search.shopping.naver.com/search/all?query="&amp;C23,"네이버쇼핑 검색 열기")</f>
        <v/>
      </c>
      <c r="G23" s="5" t="n"/>
      <c r="H23" s="6" t="n"/>
      <c r="I23" s="5" t="n"/>
      <c r="J23" s="6" t="n"/>
      <c r="K23" s="7" t="n"/>
      <c r="L23" s="2" t="inlineStr">
        <is>
          <t>미확인</t>
        </is>
      </c>
      <c r="M23" s="2" t="inlineStr">
        <is>
          <t>미확인</t>
        </is>
      </c>
      <c r="N23" s="8" t="n"/>
      <c r="O23" s="6" t="n"/>
    </row>
    <row r="24">
      <c r="A24" s="2" t="n">
        <v>23</v>
      </c>
      <c r="B24" s="2" t="inlineStr">
        <is>
          <t>에어컨·냉난방</t>
        </is>
      </c>
      <c r="C24" s="3" t="inlineStr">
        <is>
          <t>이동식 에어컨</t>
        </is>
      </c>
      <c r="D24" s="3" t="inlineStr">
        <is>
          <t>移动空调</t>
        </is>
      </c>
      <c r="E24" s="4">
        <f>HYPERLINK("https://www.xiaohongshu.com/search_result?keyword="&amp;D24,"샤오홍슈 검색 열기")</f>
        <v/>
      </c>
      <c r="F24" s="4">
        <f>HYPERLINK("https://search.shopping.naver.com/search/all?query="&amp;C24,"네이버쇼핑 검색 열기")</f>
        <v/>
      </c>
      <c r="G24" s="5" t="n"/>
      <c r="H24" s="6" t="n"/>
      <c r="I24" s="5" t="n"/>
      <c r="J24" s="6" t="n"/>
      <c r="K24" s="7" t="n"/>
      <c r="L24" s="2" t="inlineStr">
        <is>
          <t>미확인</t>
        </is>
      </c>
      <c r="M24" s="2" t="inlineStr">
        <is>
          <t>미확인</t>
        </is>
      </c>
      <c r="N24" s="8" t="n"/>
      <c r="O24" s="6" t="n"/>
    </row>
    <row r="25">
      <c r="A25" s="2" t="n">
        <v>24</v>
      </c>
      <c r="B25" s="2" t="inlineStr">
        <is>
          <t>에어컨·냉난방</t>
        </is>
      </c>
      <c r="C25" s="3" t="inlineStr">
        <is>
          <t>창문형 에어컨</t>
        </is>
      </c>
      <c r="D25" s="3" t="inlineStr">
        <is>
          <t>窗式空调</t>
        </is>
      </c>
      <c r="E25" s="4">
        <f>HYPERLINK("https://www.xiaohongshu.com/search_result?keyword="&amp;D25,"샤오홍슈 검색 열기")</f>
        <v/>
      </c>
      <c r="F25" s="4">
        <f>HYPERLINK("https://search.shopping.naver.com/search/all?query="&amp;C25,"네이버쇼핑 검색 열기")</f>
        <v/>
      </c>
      <c r="G25" s="5" t="n"/>
      <c r="H25" s="6" t="n"/>
      <c r="I25" s="5" t="n"/>
      <c r="J25" s="6" t="n"/>
      <c r="K25" s="7" t="n"/>
      <c r="L25" s="2" t="inlineStr">
        <is>
          <t>미확인</t>
        </is>
      </c>
      <c r="M25" s="2" t="inlineStr">
        <is>
          <t>미확인</t>
        </is>
      </c>
      <c r="N25" s="8" t="n"/>
      <c r="O25" s="6" t="n"/>
    </row>
    <row r="26">
      <c r="A26" s="2" t="n">
        <v>25</v>
      </c>
      <c r="B26" s="2" t="inlineStr">
        <is>
          <t>에어컨·냉난방</t>
        </is>
      </c>
      <c r="C26" s="3" t="inlineStr">
        <is>
          <t>에어컨 장식 스티커</t>
        </is>
      </c>
      <c r="D26" s="3" t="inlineStr">
        <is>
          <t>空调装饰贴</t>
        </is>
      </c>
      <c r="E26" s="4">
        <f>HYPERLINK("https://www.xiaohongshu.com/search_result?keyword="&amp;D26,"샤오홍슈 검색 열기")</f>
        <v/>
      </c>
      <c r="F26" s="4">
        <f>HYPERLINK("https://search.shopping.naver.com/search/all?query="&amp;C26,"네이버쇼핑 검색 열기")</f>
        <v/>
      </c>
      <c r="G26" s="5" t="n"/>
      <c r="H26" s="6" t="n"/>
      <c r="I26" s="5" t="n"/>
      <c r="J26" s="6" t="n"/>
      <c r="K26" s="7" t="n"/>
      <c r="L26" s="2" t="inlineStr">
        <is>
          <t>미확인</t>
        </is>
      </c>
      <c r="M26" s="2" t="inlineStr">
        <is>
          <t>미확인</t>
        </is>
      </c>
      <c r="N26" s="8" t="n"/>
      <c r="O26" s="6" t="n"/>
    </row>
    <row r="27">
      <c r="A27" s="2" t="n">
        <v>26</v>
      </c>
      <c r="B27" s="2" t="inlineStr">
        <is>
          <t>에어컨·냉난방</t>
        </is>
      </c>
      <c r="C27" s="3" t="inlineStr">
        <is>
          <t>창문 단열 필름</t>
        </is>
      </c>
      <c r="D27" s="3" t="inlineStr">
        <is>
          <t>窗户隔热膜</t>
        </is>
      </c>
      <c r="E27" s="4">
        <f>HYPERLINK("https://www.xiaohongshu.com/search_result?keyword="&amp;D27,"샤오홍슈 검색 열기")</f>
        <v/>
      </c>
      <c r="F27" s="4">
        <f>HYPERLINK("https://search.shopping.naver.com/search/all?query="&amp;C27,"네이버쇼핑 검색 열기")</f>
        <v/>
      </c>
      <c r="G27" s="5" t="n"/>
      <c r="H27" s="6" t="n"/>
      <c r="I27" s="5" t="n"/>
      <c r="J27" s="6" t="n"/>
      <c r="K27" s="7" t="n"/>
      <c r="L27" s="2" t="inlineStr">
        <is>
          <t>미확인</t>
        </is>
      </c>
      <c r="M27" s="2" t="inlineStr">
        <is>
          <t>미확인</t>
        </is>
      </c>
      <c r="N27" s="8" t="n"/>
      <c r="O27" s="6" t="n"/>
    </row>
    <row r="28">
      <c r="A28" s="2" t="n">
        <v>27</v>
      </c>
      <c r="B28" s="2" t="inlineStr">
        <is>
          <t>에어컨·냉난방</t>
        </is>
      </c>
      <c r="C28" s="3" t="inlineStr">
        <is>
          <t>암막 커튼</t>
        </is>
      </c>
      <c r="D28" s="3" t="inlineStr">
        <is>
          <t>遮光窗帘</t>
        </is>
      </c>
      <c r="E28" s="4">
        <f>HYPERLINK("https://www.xiaohongshu.com/search_result?keyword="&amp;D28,"샤오홍슈 검색 열기")</f>
        <v/>
      </c>
      <c r="F28" s="4">
        <f>HYPERLINK("https://search.shopping.naver.com/search/all?query="&amp;C28,"네이버쇼핑 검색 열기")</f>
        <v/>
      </c>
      <c r="G28" s="5" t="n"/>
      <c r="H28" s="6" t="n"/>
      <c r="I28" s="5" t="n"/>
      <c r="J28" s="6" t="n"/>
      <c r="K28" s="7" t="n"/>
      <c r="L28" s="2" t="inlineStr">
        <is>
          <t>미확인</t>
        </is>
      </c>
      <c r="M28" s="2" t="inlineStr">
        <is>
          <t>미확인</t>
        </is>
      </c>
      <c r="N28" s="8" t="n"/>
      <c r="O28" s="6" t="n"/>
    </row>
    <row r="29">
      <c r="A29" s="2" t="n">
        <v>28</v>
      </c>
      <c r="B29" s="2" t="inlineStr">
        <is>
          <t>에어컨·냉난방</t>
        </is>
      </c>
      <c r="C29" s="3" t="inlineStr">
        <is>
          <t>문풍지</t>
        </is>
      </c>
      <c r="D29" s="3" t="inlineStr">
        <is>
          <t>门窗密封条</t>
        </is>
      </c>
      <c r="E29" s="4">
        <f>HYPERLINK("https://www.xiaohongshu.com/search_result?keyword="&amp;D29,"샤오홍슈 검색 열기")</f>
        <v/>
      </c>
      <c r="F29" s="4">
        <f>HYPERLINK("https://search.shopping.naver.com/search/all?query="&amp;C29,"네이버쇼핑 검색 열기")</f>
        <v/>
      </c>
      <c r="G29" s="5" t="n"/>
      <c r="H29" s="6" t="n"/>
      <c r="I29" s="5" t="n"/>
      <c r="J29" s="6" t="n"/>
      <c r="K29" s="7" t="n"/>
      <c r="L29" s="2" t="inlineStr">
        <is>
          <t>미확인</t>
        </is>
      </c>
      <c r="M29" s="2" t="inlineStr">
        <is>
          <t>미확인</t>
        </is>
      </c>
      <c r="N29" s="8" t="n"/>
      <c r="O29" s="6" t="n"/>
    </row>
    <row r="30">
      <c r="A30" s="2" t="n">
        <v>29</v>
      </c>
      <c r="B30" s="2" t="inlineStr">
        <is>
          <t>에어컨·냉난방</t>
        </is>
      </c>
      <c r="C30" s="3" t="inlineStr">
        <is>
          <t>에어컨 바람 가이드</t>
        </is>
      </c>
      <c r="D30" s="3" t="inlineStr">
        <is>
          <t>空调导风板</t>
        </is>
      </c>
      <c r="E30" s="4">
        <f>HYPERLINK("https://www.xiaohongshu.com/search_result?keyword="&amp;D30,"샤오홍슈 검색 열기")</f>
        <v/>
      </c>
      <c r="F30" s="4">
        <f>HYPERLINK("https://search.shopping.naver.com/search/all?query="&amp;C30,"네이버쇼핑 검색 열기")</f>
        <v/>
      </c>
      <c r="G30" s="5" t="n"/>
      <c r="H30" s="6" t="n"/>
      <c r="I30" s="5" t="n"/>
      <c r="J30" s="6" t="n"/>
      <c r="K30" s="7" t="n"/>
      <c r="L30" s="2" t="inlineStr">
        <is>
          <t>미확인</t>
        </is>
      </c>
      <c r="M30" s="2" t="inlineStr">
        <is>
          <t>미확인</t>
        </is>
      </c>
      <c r="N30" s="8" t="n"/>
      <c r="O30" s="6" t="n"/>
    </row>
    <row r="31">
      <c r="A31" s="2" t="n">
        <v>30</v>
      </c>
      <c r="B31" s="2" t="inlineStr">
        <is>
          <t>에어컨·냉난방</t>
        </is>
      </c>
      <c r="C31" s="3" t="inlineStr">
        <is>
          <t>실외기 차양막</t>
        </is>
      </c>
      <c r="D31" s="3" t="inlineStr">
        <is>
          <t>空调外机遮阳罩</t>
        </is>
      </c>
      <c r="E31" s="4">
        <f>HYPERLINK("https://www.xiaohongshu.com/search_result?keyword="&amp;D31,"샤오홍슈 검색 열기")</f>
        <v/>
      </c>
      <c r="F31" s="4">
        <f>HYPERLINK("https://search.shopping.naver.com/search/all?query="&amp;C31,"네이버쇼핑 검색 열기")</f>
        <v/>
      </c>
      <c r="G31" s="5" t="n"/>
      <c r="H31" s="6" t="n"/>
      <c r="I31" s="5" t="n"/>
      <c r="J31" s="6" t="n"/>
      <c r="K31" s="7" t="n"/>
      <c r="L31" s="2" t="inlineStr">
        <is>
          <t>미확인</t>
        </is>
      </c>
      <c r="M31" s="2" t="inlineStr">
        <is>
          <t>미확인</t>
        </is>
      </c>
      <c r="N31" s="8" t="n"/>
      <c r="O31" s="6" t="n"/>
    </row>
    <row r="32">
      <c r="A32" s="2" t="n">
        <v>31</v>
      </c>
      <c r="B32" s="2" t="inlineStr">
        <is>
          <t>에어컨·냉난방</t>
        </is>
      </c>
      <c r="C32" s="3" t="inlineStr">
        <is>
          <t>전기 요금 측정기</t>
        </is>
      </c>
      <c r="D32" s="3" t="inlineStr">
        <is>
          <t>电量计量插座</t>
        </is>
      </c>
      <c r="E32" s="4">
        <f>HYPERLINK("https://www.xiaohongshu.com/search_result?keyword="&amp;D32,"샤오홍슈 검색 열기")</f>
        <v/>
      </c>
      <c r="F32" s="4">
        <f>HYPERLINK("https://search.shopping.naver.com/search/all?query="&amp;C32,"네이버쇼핑 검색 열기")</f>
        <v/>
      </c>
      <c r="G32" s="5" t="n"/>
      <c r="H32" s="6" t="n"/>
      <c r="I32" s="5" t="n"/>
      <c r="J32" s="6" t="n"/>
      <c r="K32" s="7" t="n"/>
      <c r="L32" s="2" t="inlineStr">
        <is>
          <t>미확인</t>
        </is>
      </c>
      <c r="M32" s="2" t="inlineStr">
        <is>
          <t>미확인</t>
        </is>
      </c>
      <c r="N32" s="8" t="n"/>
      <c r="O32" s="6" t="n"/>
    </row>
    <row r="33">
      <c r="A33" s="2" t="n">
        <v>32</v>
      </c>
      <c r="B33" s="2" t="inlineStr">
        <is>
          <t>에어컨·냉난방</t>
        </is>
      </c>
      <c r="C33" s="3" t="inlineStr">
        <is>
          <t>멀티탭</t>
        </is>
      </c>
      <c r="D33" s="3" t="inlineStr">
        <is>
          <t>插线板</t>
        </is>
      </c>
      <c r="E33" s="4">
        <f>HYPERLINK("https://www.xiaohongshu.com/search_result?keyword="&amp;D33,"샤오홍슈 검색 열기")</f>
        <v/>
      </c>
      <c r="F33" s="4">
        <f>HYPERLINK("https://search.shopping.naver.com/search/all?query="&amp;C33,"네이버쇼핑 검색 열기")</f>
        <v/>
      </c>
      <c r="G33" s="5" t="n"/>
      <c r="H33" s="6" t="n"/>
      <c r="I33" s="5" t="n"/>
      <c r="J33" s="6" t="n"/>
      <c r="K33" s="7" t="n"/>
      <c r="L33" s="2" t="inlineStr">
        <is>
          <t>미확인</t>
        </is>
      </c>
      <c r="M33" s="2" t="inlineStr">
        <is>
          <t>미확인</t>
        </is>
      </c>
      <c r="N33" s="8" t="n"/>
      <c r="O33" s="6" t="n"/>
    </row>
    <row r="34">
      <c r="A34" s="2" t="n">
        <v>33</v>
      </c>
      <c r="B34" s="2" t="inlineStr">
        <is>
          <t>에어컨·냉난방</t>
        </is>
      </c>
      <c r="C34" s="3" t="inlineStr">
        <is>
          <t>에어컨 전용 콘센트</t>
        </is>
      </c>
      <c r="D34" s="3" t="inlineStr">
        <is>
          <t>空调专用插座</t>
        </is>
      </c>
      <c r="E34" s="4">
        <f>HYPERLINK("https://www.xiaohongshu.com/search_result?keyword="&amp;D34,"샤오홍슈 검색 열기")</f>
        <v/>
      </c>
      <c r="F34" s="4">
        <f>HYPERLINK("https://search.shopping.naver.com/search/all?query="&amp;C34,"네이버쇼핑 검색 열기")</f>
        <v/>
      </c>
      <c r="G34" s="5" t="n"/>
      <c r="H34" s="6" t="n"/>
      <c r="I34" s="5" t="n"/>
      <c r="J34" s="6" t="n"/>
      <c r="K34" s="7" t="n"/>
      <c r="L34" s="2" t="inlineStr">
        <is>
          <t>미확인</t>
        </is>
      </c>
      <c r="M34" s="2" t="inlineStr">
        <is>
          <t>미확인</t>
        </is>
      </c>
      <c r="N34" s="8" t="n"/>
      <c r="O34" s="6" t="n"/>
    </row>
    <row r="35">
      <c r="A35" s="2" t="n">
        <v>34</v>
      </c>
      <c r="B35" s="2" t="inlineStr">
        <is>
          <t>에어컨·냉난방</t>
        </is>
      </c>
      <c r="C35" s="3" t="inlineStr">
        <is>
          <t>사무실 무릎담요</t>
        </is>
      </c>
      <c r="D35" s="3" t="inlineStr">
        <is>
          <t>办公室毯子</t>
        </is>
      </c>
      <c r="E35" s="4">
        <f>HYPERLINK("https://www.xiaohongshu.com/search_result?keyword="&amp;D35,"샤오홍슈 검색 열기")</f>
        <v/>
      </c>
      <c r="F35" s="4">
        <f>HYPERLINK("https://search.shopping.naver.com/search/all?query="&amp;C35,"네이버쇼핑 검색 열기")</f>
        <v/>
      </c>
      <c r="G35" s="5" t="n"/>
      <c r="H35" s="6" t="n"/>
      <c r="I35" s="5" t="n"/>
      <c r="J35" s="6" t="n"/>
      <c r="K35" s="7" t="n"/>
      <c r="L35" s="2" t="inlineStr">
        <is>
          <t>미확인</t>
        </is>
      </c>
      <c r="M35" s="2" t="inlineStr">
        <is>
          <t>미확인</t>
        </is>
      </c>
      <c r="N35" s="8" t="n"/>
      <c r="O35" s="6" t="n"/>
    </row>
    <row r="36">
      <c r="A36" s="2" t="n">
        <v>35</v>
      </c>
      <c r="B36" s="2" t="inlineStr">
        <is>
          <t>에어컨·냉난방</t>
        </is>
      </c>
      <c r="C36" s="3" t="inlineStr">
        <is>
          <t>쿨매트</t>
        </is>
      </c>
      <c r="D36" s="3" t="inlineStr">
        <is>
          <t>凉席</t>
        </is>
      </c>
      <c r="E36" s="4">
        <f>HYPERLINK("https://www.xiaohongshu.com/search_result?keyword="&amp;D36,"샤오홍슈 검색 열기")</f>
        <v/>
      </c>
      <c r="F36" s="4">
        <f>HYPERLINK("https://search.shopping.naver.com/search/all?query="&amp;C36,"네이버쇼핑 검색 열기")</f>
        <v/>
      </c>
      <c r="G36" s="5" t="n"/>
      <c r="H36" s="6" t="n"/>
      <c r="I36" s="5" t="n"/>
      <c r="J36" s="6" t="n"/>
      <c r="K36" s="7" t="n"/>
      <c r="L36" s="2" t="inlineStr">
        <is>
          <t>미확인</t>
        </is>
      </c>
      <c r="M36" s="2" t="inlineStr">
        <is>
          <t>미확인</t>
        </is>
      </c>
      <c r="N36" s="8" t="n"/>
      <c r="O36" s="6" t="n"/>
    </row>
    <row r="37">
      <c r="A37" s="2" t="n">
        <v>36</v>
      </c>
      <c r="B37" s="2" t="inlineStr">
        <is>
          <t>에어컨·냉난방</t>
        </is>
      </c>
      <c r="C37" s="3" t="inlineStr">
        <is>
          <t>쿨링 베개 커버</t>
        </is>
      </c>
      <c r="D37" s="3" t="inlineStr">
        <is>
          <t>凉感枕套</t>
        </is>
      </c>
      <c r="E37" s="4">
        <f>HYPERLINK("https://www.xiaohongshu.com/search_result?keyword="&amp;D37,"샤오홍슈 검색 열기")</f>
        <v/>
      </c>
      <c r="F37" s="4">
        <f>HYPERLINK("https://search.shopping.naver.com/search/all?query="&amp;C37,"네이버쇼핑 검색 열기")</f>
        <v/>
      </c>
      <c r="G37" s="5" t="n"/>
      <c r="H37" s="6" t="n"/>
      <c r="I37" s="5" t="n"/>
      <c r="J37" s="6" t="n"/>
      <c r="K37" s="7" t="n"/>
      <c r="L37" s="2" t="inlineStr">
        <is>
          <t>미확인</t>
        </is>
      </c>
      <c r="M37" s="2" t="inlineStr">
        <is>
          <t>미확인</t>
        </is>
      </c>
      <c r="N37" s="8" t="n"/>
      <c r="O37" s="6" t="n"/>
    </row>
    <row r="38">
      <c r="A38" s="2" t="n">
        <v>37</v>
      </c>
      <c r="B38" s="2" t="inlineStr">
        <is>
          <t>에어컨·냉난방</t>
        </is>
      </c>
      <c r="C38" s="3" t="inlineStr">
        <is>
          <t>냉감 이불</t>
        </is>
      </c>
      <c r="D38" s="3" t="inlineStr">
        <is>
          <t>凉感被</t>
        </is>
      </c>
      <c r="E38" s="4">
        <f>HYPERLINK("https://www.xiaohongshu.com/search_result?keyword="&amp;D38,"샤오홍슈 검색 열기")</f>
        <v/>
      </c>
      <c r="F38" s="4">
        <f>HYPERLINK("https://search.shopping.naver.com/search/all?query="&amp;C38,"네이버쇼핑 검색 열기")</f>
        <v/>
      </c>
      <c r="G38" s="5" t="n"/>
      <c r="H38" s="6" t="n"/>
      <c r="I38" s="5" t="n"/>
      <c r="J38" s="6" t="n"/>
      <c r="K38" s="7" t="n"/>
      <c r="L38" s="2" t="inlineStr">
        <is>
          <t>미확인</t>
        </is>
      </c>
      <c r="M38" s="2" t="inlineStr">
        <is>
          <t>미확인</t>
        </is>
      </c>
      <c r="N38" s="8" t="n"/>
      <c r="O38" s="6" t="n"/>
    </row>
    <row r="39">
      <c r="A39" s="2" t="n">
        <v>38</v>
      </c>
      <c r="B39" s="2" t="inlineStr">
        <is>
          <t>에어컨·냉난방</t>
        </is>
      </c>
      <c r="C39" s="3" t="inlineStr">
        <is>
          <t>아이스 넥밴드</t>
        </is>
      </c>
      <c r="D39" s="3" t="inlineStr">
        <is>
          <t>冰凉颈环</t>
        </is>
      </c>
      <c r="E39" s="4">
        <f>HYPERLINK("https://www.xiaohongshu.com/search_result?keyword="&amp;D39,"샤오홍슈 검색 열기")</f>
        <v/>
      </c>
      <c r="F39" s="4">
        <f>HYPERLINK("https://search.shopping.naver.com/search/all?query="&amp;C39,"네이버쇼핑 검색 열기")</f>
        <v/>
      </c>
      <c r="G39" s="5" t="n"/>
      <c r="H39" s="6" t="n"/>
      <c r="I39" s="5" t="n"/>
      <c r="J39" s="6" t="n"/>
      <c r="K39" s="7" t="n"/>
      <c r="L39" s="2" t="inlineStr">
        <is>
          <t>미확인</t>
        </is>
      </c>
      <c r="M39" s="2" t="inlineStr">
        <is>
          <t>미확인</t>
        </is>
      </c>
      <c r="N39" s="8" t="n"/>
      <c r="O39" s="6" t="n"/>
    </row>
    <row r="40">
      <c r="A40" s="2" t="n">
        <v>39</v>
      </c>
      <c r="B40" s="2" t="inlineStr">
        <is>
          <t>에어컨·냉난방</t>
        </is>
      </c>
      <c r="C40" s="3" t="inlineStr">
        <is>
          <t>에어컨 청소 브러시</t>
        </is>
      </c>
      <c r="D40" s="3" t="inlineStr">
        <is>
          <t>空调清洁刷</t>
        </is>
      </c>
      <c r="E40" s="4">
        <f>HYPERLINK("https://www.xiaohongshu.com/search_result?keyword="&amp;D40,"샤오홍슈 검색 열기")</f>
        <v/>
      </c>
      <c r="F40" s="4">
        <f>HYPERLINK("https://search.shopping.naver.com/search/all?query="&amp;C40,"네이버쇼핑 검색 열기")</f>
        <v/>
      </c>
      <c r="G40" s="5" t="n"/>
      <c r="H40" s="6" t="n"/>
      <c r="I40" s="5" t="n"/>
      <c r="J40" s="6" t="n"/>
      <c r="K40" s="7" t="n"/>
      <c r="L40" s="2" t="inlineStr">
        <is>
          <t>미확인</t>
        </is>
      </c>
      <c r="M40" s="2" t="inlineStr">
        <is>
          <t>미확인</t>
        </is>
      </c>
      <c r="N40" s="8" t="n"/>
      <c r="O40" s="6" t="n"/>
    </row>
    <row r="41">
      <c r="A41" s="2" t="n">
        <v>40</v>
      </c>
      <c r="B41" s="2" t="inlineStr">
        <is>
          <t>에어컨·냉난방</t>
        </is>
      </c>
      <c r="C41" s="3" t="inlineStr">
        <is>
          <t>온풍기</t>
        </is>
      </c>
      <c r="D41" s="3" t="inlineStr">
        <is>
          <t>暖风机</t>
        </is>
      </c>
      <c r="E41" s="4">
        <f>HYPERLINK("https://www.xiaohongshu.com/search_result?keyword="&amp;D41,"샤오홍슈 검색 열기")</f>
        <v/>
      </c>
      <c r="F41" s="4">
        <f>HYPERLINK("https://search.shopping.naver.com/search/all?query="&amp;C41,"네이버쇼핑 검색 열기")</f>
        <v/>
      </c>
      <c r="G41" s="5" t="n"/>
      <c r="H41" s="6" t="n"/>
      <c r="I41" s="5" t="n"/>
      <c r="J41" s="6" t="n"/>
      <c r="K41" s="7" t="n"/>
      <c r="L41" s="2" t="inlineStr">
        <is>
          <t>미확인</t>
        </is>
      </c>
      <c r="M41" s="2" t="inlineStr">
        <is>
          <t>미확인</t>
        </is>
      </c>
      <c r="N41" s="8" t="n"/>
      <c r="O41" s="6" t="n"/>
    </row>
    <row r="42">
      <c r="A42" s="2" t="n">
        <v>41</v>
      </c>
      <c r="B42" s="2" t="inlineStr">
        <is>
          <t>난방·겨울</t>
        </is>
      </c>
      <c r="C42" s="3" t="inlineStr">
        <is>
          <t>전기 히터</t>
        </is>
      </c>
      <c r="D42" s="3" t="inlineStr">
        <is>
          <t>电暖器</t>
        </is>
      </c>
      <c r="E42" s="4">
        <f>HYPERLINK("https://www.xiaohongshu.com/search_result?keyword="&amp;D42,"샤오홍슈 검색 열기")</f>
        <v/>
      </c>
      <c r="F42" s="4">
        <f>HYPERLINK("https://search.shopping.naver.com/search/all?query="&amp;C42,"네이버쇼핑 검색 열기")</f>
        <v/>
      </c>
      <c r="G42" s="5" t="n"/>
      <c r="H42" s="6" t="n"/>
      <c r="I42" s="5" t="n"/>
      <c r="J42" s="6" t="n"/>
      <c r="K42" s="7" t="n"/>
      <c r="L42" s="2" t="inlineStr">
        <is>
          <t>미확인</t>
        </is>
      </c>
      <c r="M42" s="2" t="inlineStr">
        <is>
          <t>미확인</t>
        </is>
      </c>
      <c r="N42" s="8" t="n"/>
      <c r="O42" s="6" t="n"/>
    </row>
    <row r="43">
      <c r="A43" s="2" t="n">
        <v>42</v>
      </c>
      <c r="B43" s="2" t="inlineStr">
        <is>
          <t>난방·겨울</t>
        </is>
      </c>
      <c r="C43" s="3" t="inlineStr">
        <is>
          <t>전기 장판</t>
        </is>
      </c>
      <c r="D43" s="3" t="inlineStr">
        <is>
          <t>电热毯</t>
        </is>
      </c>
      <c r="E43" s="4">
        <f>HYPERLINK("https://www.xiaohongshu.com/search_result?keyword="&amp;D43,"샤오홍슈 검색 열기")</f>
        <v/>
      </c>
      <c r="F43" s="4">
        <f>HYPERLINK("https://search.shopping.naver.com/search/all?query="&amp;C43,"네이버쇼핑 검색 열기")</f>
        <v/>
      </c>
      <c r="G43" s="5" t="n"/>
      <c r="H43" s="6" t="n"/>
      <c r="I43" s="5" t="n"/>
      <c r="J43" s="6" t="n"/>
      <c r="K43" s="7" t="n"/>
      <c r="L43" s="2" t="inlineStr">
        <is>
          <t>미확인</t>
        </is>
      </c>
      <c r="M43" s="2" t="inlineStr">
        <is>
          <t>미확인</t>
        </is>
      </c>
      <c r="N43" s="8" t="n"/>
      <c r="O43" s="6" t="n"/>
    </row>
    <row r="44">
      <c r="A44" s="2" t="n">
        <v>43</v>
      </c>
      <c r="B44" s="2" t="inlineStr">
        <is>
          <t>난방·겨울</t>
        </is>
      </c>
      <c r="C44" s="3" t="inlineStr">
        <is>
          <t>온수 매트</t>
        </is>
      </c>
      <c r="D44" s="3" t="inlineStr">
        <is>
          <t>水暖毯</t>
        </is>
      </c>
      <c r="E44" s="4">
        <f>HYPERLINK("https://www.xiaohongshu.com/search_result?keyword="&amp;D44,"샤오홍슈 검색 열기")</f>
        <v/>
      </c>
      <c r="F44" s="4">
        <f>HYPERLINK("https://search.shopping.naver.com/search/all?query="&amp;C44,"네이버쇼핑 검색 열기")</f>
        <v/>
      </c>
      <c r="G44" s="5" t="n"/>
      <c r="H44" s="6" t="n"/>
      <c r="I44" s="5" t="n"/>
      <c r="J44" s="6" t="n"/>
      <c r="K44" s="7" t="n"/>
      <c r="L44" s="2" t="inlineStr">
        <is>
          <t>미확인</t>
        </is>
      </c>
      <c r="M44" s="2" t="inlineStr">
        <is>
          <t>미확인</t>
        </is>
      </c>
      <c r="N44" s="8" t="n"/>
      <c r="O44" s="6" t="n"/>
    </row>
    <row r="45">
      <c r="A45" s="2" t="n">
        <v>44</v>
      </c>
      <c r="B45" s="2" t="inlineStr">
        <is>
          <t>난방·겨울</t>
        </is>
      </c>
      <c r="C45" s="3" t="inlineStr">
        <is>
          <t>발 난로</t>
        </is>
      </c>
      <c r="D45" s="3" t="inlineStr">
        <is>
          <t>暖脚器</t>
        </is>
      </c>
      <c r="E45" s="4">
        <f>HYPERLINK("https://www.xiaohongshu.com/search_result?keyword="&amp;D45,"샤오홍슈 검색 열기")</f>
        <v/>
      </c>
      <c r="F45" s="4">
        <f>HYPERLINK("https://search.shopping.naver.com/search/all?query="&amp;C45,"네이버쇼핑 검색 열기")</f>
        <v/>
      </c>
      <c r="G45" s="5" t="n"/>
      <c r="H45" s="6" t="n"/>
      <c r="I45" s="5" t="n"/>
      <c r="J45" s="6" t="n"/>
      <c r="K45" s="7" t="n"/>
      <c r="L45" s="2" t="inlineStr">
        <is>
          <t>미확인</t>
        </is>
      </c>
      <c r="M45" s="2" t="inlineStr">
        <is>
          <t>미확인</t>
        </is>
      </c>
      <c r="N45" s="8" t="n"/>
      <c r="O45" s="6" t="n"/>
    </row>
    <row r="46">
      <c r="A46" s="2" t="n">
        <v>45</v>
      </c>
      <c r="B46" s="2" t="inlineStr">
        <is>
          <t>난방·겨울</t>
        </is>
      </c>
      <c r="C46" s="3" t="inlineStr">
        <is>
          <t>손난로</t>
        </is>
      </c>
      <c r="D46" s="3" t="inlineStr">
        <is>
          <t>暖手宝</t>
        </is>
      </c>
      <c r="E46" s="4">
        <f>HYPERLINK("https://www.xiaohongshu.com/search_result?keyword="&amp;D46,"샤오홍슈 검색 열기")</f>
        <v/>
      </c>
      <c r="F46" s="4">
        <f>HYPERLINK("https://search.shopping.naver.com/search/all?query="&amp;C46,"네이버쇼핑 검색 열기")</f>
        <v/>
      </c>
      <c r="G46" s="5" t="n"/>
      <c r="H46" s="6" t="n"/>
      <c r="I46" s="5" t="n"/>
      <c r="J46" s="6" t="n"/>
      <c r="K46" s="7" t="n"/>
      <c r="L46" s="2" t="inlineStr">
        <is>
          <t>미확인</t>
        </is>
      </c>
      <c r="M46" s="2" t="inlineStr">
        <is>
          <t>미확인</t>
        </is>
      </c>
      <c r="N46" s="8" t="n"/>
      <c r="O46" s="6" t="n"/>
    </row>
    <row r="47">
      <c r="A47" s="2" t="n">
        <v>46</v>
      </c>
      <c r="B47" s="2" t="inlineStr">
        <is>
          <t>난방·겨울</t>
        </is>
      </c>
      <c r="C47" s="3" t="inlineStr">
        <is>
          <t>가습기</t>
        </is>
      </c>
      <c r="D47" s="3" t="inlineStr">
        <is>
          <t>加湿器</t>
        </is>
      </c>
      <c r="E47" s="4">
        <f>HYPERLINK("https://www.xiaohongshu.com/search_result?keyword="&amp;D47,"샤오홍슈 검색 열기")</f>
        <v/>
      </c>
      <c r="F47" s="4">
        <f>HYPERLINK("https://search.shopping.naver.com/search/all?query="&amp;C47,"네이버쇼핑 검색 열기")</f>
        <v/>
      </c>
      <c r="G47" s="5" t="n"/>
      <c r="H47" s="6" t="n"/>
      <c r="I47" s="5" t="n"/>
      <c r="J47" s="6" t="n"/>
      <c r="K47" s="7" t="n"/>
      <c r="L47" s="2" t="inlineStr">
        <is>
          <t>미확인</t>
        </is>
      </c>
      <c r="M47" s="2" t="inlineStr">
        <is>
          <t>미확인</t>
        </is>
      </c>
      <c r="N47" s="8" t="n"/>
      <c r="O47" s="6" t="n"/>
    </row>
    <row r="48">
      <c r="A48" s="2" t="n">
        <v>47</v>
      </c>
      <c r="B48" s="2" t="inlineStr">
        <is>
          <t>난방·겨울</t>
        </is>
      </c>
      <c r="C48" s="3" t="inlineStr">
        <is>
          <t>미니 가습기</t>
        </is>
      </c>
      <c r="D48" s="3" t="inlineStr">
        <is>
          <t>迷你加湿器</t>
        </is>
      </c>
      <c r="E48" s="4">
        <f>HYPERLINK("https://www.xiaohongshu.com/search_result?keyword="&amp;D48,"샤오홍슈 검색 열기")</f>
        <v/>
      </c>
      <c r="F48" s="4">
        <f>HYPERLINK("https://search.shopping.naver.com/search/all?query="&amp;C48,"네이버쇼핑 검색 열기")</f>
        <v/>
      </c>
      <c r="G48" s="5" t="n"/>
      <c r="H48" s="6" t="n"/>
      <c r="I48" s="5" t="n"/>
      <c r="J48" s="6" t="n"/>
      <c r="K48" s="7" t="n"/>
      <c r="L48" s="2" t="inlineStr">
        <is>
          <t>미확인</t>
        </is>
      </c>
      <c r="M48" s="2" t="inlineStr">
        <is>
          <t>미확인</t>
        </is>
      </c>
      <c r="N48" s="8" t="n"/>
      <c r="O48" s="6" t="n"/>
    </row>
    <row r="49">
      <c r="A49" s="2" t="n">
        <v>48</v>
      </c>
      <c r="B49" s="2" t="inlineStr">
        <is>
          <t>난방·겨울</t>
        </is>
      </c>
      <c r="C49" s="3" t="inlineStr">
        <is>
          <t>단열 뽁뽁이</t>
        </is>
      </c>
      <c r="D49" s="3" t="inlineStr">
        <is>
          <t>窗户保温膜</t>
        </is>
      </c>
      <c r="E49" s="4">
        <f>HYPERLINK("https://www.xiaohongshu.com/search_result?keyword="&amp;D49,"샤오홍슈 검색 열기")</f>
        <v/>
      </c>
      <c r="F49" s="4">
        <f>HYPERLINK("https://search.shopping.naver.com/search/all?query="&amp;C49,"네이버쇼핑 검색 열기")</f>
        <v/>
      </c>
      <c r="G49" s="5" t="n"/>
      <c r="H49" s="6" t="n"/>
      <c r="I49" s="5" t="n"/>
      <c r="J49" s="6" t="n"/>
      <c r="K49" s="7" t="n"/>
      <c r="L49" s="2" t="inlineStr">
        <is>
          <t>미확인</t>
        </is>
      </c>
      <c r="M49" s="2" t="inlineStr">
        <is>
          <t>미확인</t>
        </is>
      </c>
      <c r="N49" s="8" t="n"/>
      <c r="O49" s="6" t="n"/>
    </row>
    <row r="50">
      <c r="A50" s="2" t="n">
        <v>49</v>
      </c>
      <c r="B50" s="2" t="inlineStr">
        <is>
          <t>난방·겨울</t>
        </is>
      </c>
      <c r="C50" s="3" t="inlineStr">
        <is>
          <t>라디에이터 커버</t>
        </is>
      </c>
      <c r="D50" s="3" t="inlineStr">
        <is>
          <t>暖气罩</t>
        </is>
      </c>
      <c r="E50" s="4">
        <f>HYPERLINK("https://www.xiaohongshu.com/search_result?keyword="&amp;D50,"샤오홍슈 검색 열기")</f>
        <v/>
      </c>
      <c r="F50" s="4">
        <f>HYPERLINK("https://search.shopping.naver.com/search/all?query="&amp;C50,"네이버쇼핑 검색 열기")</f>
        <v/>
      </c>
      <c r="G50" s="5" t="n"/>
      <c r="H50" s="6" t="n"/>
      <c r="I50" s="5" t="n"/>
      <c r="J50" s="6" t="n"/>
      <c r="K50" s="7" t="n"/>
      <c r="L50" s="2" t="inlineStr">
        <is>
          <t>미확인</t>
        </is>
      </c>
      <c r="M50" s="2" t="inlineStr">
        <is>
          <t>미확인</t>
        </is>
      </c>
      <c r="N50" s="8" t="n"/>
      <c r="O50" s="6" t="n"/>
    </row>
    <row r="51">
      <c r="A51" s="2" t="n">
        <v>50</v>
      </c>
      <c r="B51" s="2" t="inlineStr">
        <is>
          <t>난방·겨울</t>
        </is>
      </c>
      <c r="C51" s="3" t="inlineStr">
        <is>
          <t>전기 방석</t>
        </is>
      </c>
      <c r="D51" s="3" t="inlineStr">
        <is>
          <t>电热坐垫</t>
        </is>
      </c>
      <c r="E51" s="4">
        <f>HYPERLINK("https://www.xiaohongshu.com/search_result?keyword="&amp;D51,"샤오홍슈 검색 열기")</f>
        <v/>
      </c>
      <c r="F51" s="4">
        <f>HYPERLINK("https://search.shopping.naver.com/search/all?query="&amp;C51,"네이버쇼핑 검색 열기")</f>
        <v/>
      </c>
      <c r="G51" s="5" t="n"/>
      <c r="H51" s="6" t="n"/>
      <c r="I51" s="5" t="n"/>
      <c r="J51" s="6" t="n"/>
      <c r="K51" s="7" t="n"/>
      <c r="L51" s="2" t="inlineStr">
        <is>
          <t>미확인</t>
        </is>
      </c>
      <c r="M51" s="2" t="inlineStr">
        <is>
          <t>미확인</t>
        </is>
      </c>
      <c r="N51" s="8" t="n"/>
      <c r="O51" s="6" t="n"/>
    </row>
    <row r="52">
      <c r="A52" s="2" t="n">
        <v>51</v>
      </c>
      <c r="B52" s="2" t="inlineStr">
        <is>
          <t>난방·겨울</t>
        </is>
      </c>
      <c r="C52" s="3" t="inlineStr">
        <is>
          <t>온도 조절기</t>
        </is>
      </c>
      <c r="D52" s="3" t="inlineStr">
        <is>
          <t>温控器</t>
        </is>
      </c>
      <c r="E52" s="4">
        <f>HYPERLINK("https://www.xiaohongshu.com/search_result?keyword="&amp;D52,"샤오홍슈 검색 열기")</f>
        <v/>
      </c>
      <c r="F52" s="4">
        <f>HYPERLINK("https://search.shopping.naver.com/search/all?query="&amp;C52,"네이버쇼핑 검색 열기")</f>
        <v/>
      </c>
      <c r="G52" s="5" t="n"/>
      <c r="H52" s="6" t="n"/>
      <c r="I52" s="5" t="n"/>
      <c r="J52" s="6" t="n"/>
      <c r="K52" s="7" t="n"/>
      <c r="L52" s="2" t="inlineStr">
        <is>
          <t>미확인</t>
        </is>
      </c>
      <c r="M52" s="2" t="inlineStr">
        <is>
          <t>미확인</t>
        </is>
      </c>
      <c r="N52" s="8" t="n"/>
      <c r="O52" s="6" t="n"/>
    </row>
    <row r="53">
      <c r="A53" s="2" t="n">
        <v>52</v>
      </c>
      <c r="B53" s="2" t="inlineStr">
        <is>
          <t>난방·겨울</t>
        </is>
      </c>
      <c r="C53" s="3" t="inlineStr">
        <is>
          <t>보일러 온도조절기</t>
        </is>
      </c>
      <c r="D53" s="3" t="inlineStr">
        <is>
          <t>壁挂炉温控器</t>
        </is>
      </c>
      <c r="E53" s="4">
        <f>HYPERLINK("https://www.xiaohongshu.com/search_result?keyword="&amp;D53,"샤오홍슈 검색 열기")</f>
        <v/>
      </c>
      <c r="F53" s="4">
        <f>HYPERLINK("https://search.shopping.naver.com/search/all?query="&amp;C53,"네이버쇼핑 검색 열기")</f>
        <v/>
      </c>
      <c r="G53" s="5" t="n"/>
      <c r="H53" s="6" t="n"/>
      <c r="I53" s="5" t="n"/>
      <c r="J53" s="6" t="n"/>
      <c r="K53" s="7" t="n"/>
      <c r="L53" s="2" t="inlineStr">
        <is>
          <t>미확인</t>
        </is>
      </c>
      <c r="M53" s="2" t="inlineStr">
        <is>
          <t>미확인</t>
        </is>
      </c>
      <c r="N53" s="8" t="n"/>
      <c r="O53" s="6" t="n"/>
    </row>
    <row r="54">
      <c r="A54" s="2" t="n">
        <v>53</v>
      </c>
      <c r="B54" s="2" t="inlineStr">
        <is>
          <t>난방·겨울</t>
        </is>
      </c>
      <c r="C54" s="3" t="inlineStr">
        <is>
          <t>방풍 커튼</t>
        </is>
      </c>
      <c r="D54" s="3" t="inlineStr">
        <is>
          <t>防风门帘</t>
        </is>
      </c>
      <c r="E54" s="4">
        <f>HYPERLINK("https://www.xiaohongshu.com/search_result?keyword="&amp;D54,"샤오홍슈 검색 열기")</f>
        <v/>
      </c>
      <c r="F54" s="4">
        <f>HYPERLINK("https://search.shopping.naver.com/search/all?query="&amp;C54,"네이버쇼핑 검색 열기")</f>
        <v/>
      </c>
      <c r="G54" s="5" t="n"/>
      <c r="H54" s="6" t="n"/>
      <c r="I54" s="5" t="n"/>
      <c r="J54" s="6" t="n"/>
      <c r="K54" s="7" t="n"/>
      <c r="L54" s="2" t="inlineStr">
        <is>
          <t>미확인</t>
        </is>
      </c>
      <c r="M54" s="2" t="inlineStr">
        <is>
          <t>미확인</t>
        </is>
      </c>
      <c r="N54" s="8" t="n"/>
      <c r="O54" s="6" t="n"/>
    </row>
    <row r="55">
      <c r="A55" s="2" t="n">
        <v>54</v>
      </c>
      <c r="B55" s="2" t="inlineStr">
        <is>
          <t>난방·겨울</t>
        </is>
      </c>
      <c r="C55" s="3" t="inlineStr">
        <is>
          <t>핫팩</t>
        </is>
      </c>
      <c r="D55" s="3" t="inlineStr">
        <is>
          <t>暖宝宝</t>
        </is>
      </c>
      <c r="E55" s="4">
        <f>HYPERLINK("https://www.xiaohongshu.com/search_result?keyword="&amp;D55,"샤오홍슈 검색 열기")</f>
        <v/>
      </c>
      <c r="F55" s="4">
        <f>HYPERLINK("https://search.shopping.naver.com/search/all?query="&amp;C55,"네이버쇼핑 검색 열기")</f>
        <v/>
      </c>
      <c r="G55" s="5" t="n"/>
      <c r="H55" s="6" t="n"/>
      <c r="I55" s="5" t="n"/>
      <c r="J55" s="6" t="n"/>
      <c r="K55" s="7" t="n"/>
      <c r="L55" s="2" t="inlineStr">
        <is>
          <t>미확인</t>
        </is>
      </c>
      <c r="M55" s="2" t="inlineStr">
        <is>
          <t>미확인</t>
        </is>
      </c>
      <c r="N55" s="8" t="n"/>
      <c r="O55" s="6" t="n"/>
    </row>
    <row r="56">
      <c r="A56" s="2" t="n">
        <v>55</v>
      </c>
      <c r="B56" s="2" t="inlineStr">
        <is>
          <t>난방·겨울</t>
        </is>
      </c>
      <c r="C56" s="3" t="inlineStr">
        <is>
          <t>발열 조끼</t>
        </is>
      </c>
      <c r="D56" s="3" t="inlineStr">
        <is>
          <t>发热马甲</t>
        </is>
      </c>
      <c r="E56" s="4">
        <f>HYPERLINK("https://www.xiaohongshu.com/search_result?keyword="&amp;D56,"샤오홍슈 검색 열기")</f>
        <v/>
      </c>
      <c r="F56" s="4">
        <f>HYPERLINK("https://search.shopping.naver.com/search/all?query="&amp;C56,"네이버쇼핑 검색 열기")</f>
        <v/>
      </c>
      <c r="G56" s="5" t="n"/>
      <c r="H56" s="6" t="n"/>
      <c r="I56" s="5" t="n"/>
      <c r="J56" s="6" t="n"/>
      <c r="K56" s="7" t="n"/>
      <c r="L56" s="2" t="inlineStr">
        <is>
          <t>미확인</t>
        </is>
      </c>
      <c r="M56" s="2" t="inlineStr">
        <is>
          <t>미확인</t>
        </is>
      </c>
      <c r="N56" s="8" t="n"/>
      <c r="O56" s="6" t="n"/>
    </row>
    <row r="57">
      <c r="A57" s="2" t="n">
        <v>56</v>
      </c>
      <c r="B57" s="2" t="inlineStr">
        <is>
          <t>청소·관리</t>
        </is>
      </c>
      <c r="C57" s="3" t="inlineStr">
        <is>
          <t>공기청정기 필터</t>
        </is>
      </c>
      <c r="D57" s="3" t="inlineStr">
        <is>
          <t>空气净化器滤芯</t>
        </is>
      </c>
      <c r="E57" s="4">
        <f>HYPERLINK("https://www.xiaohongshu.com/search_result?keyword="&amp;D57,"샤오홍슈 검색 열기")</f>
        <v/>
      </c>
      <c r="F57" s="4">
        <f>HYPERLINK("https://search.shopping.naver.com/search/all?query="&amp;C57,"네이버쇼핑 검색 열기")</f>
        <v/>
      </c>
      <c r="G57" s="5" t="n"/>
      <c r="H57" s="6" t="n"/>
      <c r="I57" s="5" t="n"/>
      <c r="J57" s="6" t="n"/>
      <c r="K57" s="7" t="n"/>
      <c r="L57" s="2" t="inlineStr">
        <is>
          <t>미확인</t>
        </is>
      </c>
      <c r="M57" s="2" t="inlineStr">
        <is>
          <t>미확인</t>
        </is>
      </c>
      <c r="N57" s="8" t="n"/>
      <c r="O57" s="6" t="n"/>
    </row>
    <row r="58">
      <c r="A58" s="2" t="n">
        <v>57</v>
      </c>
      <c r="B58" s="2" t="inlineStr">
        <is>
          <t>청소·관리</t>
        </is>
      </c>
      <c r="C58" s="3" t="inlineStr">
        <is>
          <t>공기청정기</t>
        </is>
      </c>
      <c r="D58" s="3" t="inlineStr">
        <is>
          <t>空气净化器</t>
        </is>
      </c>
      <c r="E58" s="4">
        <f>HYPERLINK("https://www.xiaohongshu.com/search_result?keyword="&amp;D58,"샤오홍슈 검색 열기")</f>
        <v/>
      </c>
      <c r="F58" s="4">
        <f>HYPERLINK("https://search.shopping.naver.com/search/all?query="&amp;C58,"네이버쇼핑 검색 열기")</f>
        <v/>
      </c>
      <c r="G58" s="5" t="n"/>
      <c r="H58" s="6" t="n"/>
      <c r="I58" s="5" t="n"/>
      <c r="J58" s="6" t="n"/>
      <c r="K58" s="7" t="n"/>
      <c r="L58" s="2" t="inlineStr">
        <is>
          <t>미확인</t>
        </is>
      </c>
      <c r="M58" s="2" t="inlineStr">
        <is>
          <t>미확인</t>
        </is>
      </c>
      <c r="N58" s="8" t="n"/>
      <c r="O58" s="6" t="n"/>
    </row>
    <row r="59">
      <c r="A59" s="2" t="n">
        <v>58</v>
      </c>
      <c r="B59" s="2" t="inlineStr">
        <is>
          <t>청소·관리</t>
        </is>
      </c>
      <c r="C59" s="3" t="inlineStr">
        <is>
          <t>차량용 공기청정기</t>
        </is>
      </c>
      <c r="D59" s="3" t="inlineStr">
        <is>
          <t>车载空气净化器</t>
        </is>
      </c>
      <c r="E59" s="4">
        <f>HYPERLINK("https://www.xiaohongshu.com/search_result?keyword="&amp;D59,"샤오홍슈 검색 열기")</f>
        <v/>
      </c>
      <c r="F59" s="4">
        <f>HYPERLINK("https://search.shopping.naver.com/search/all?query="&amp;C59,"네이버쇼핑 검색 열기")</f>
        <v/>
      </c>
      <c r="G59" s="5" t="n"/>
      <c r="H59" s="6" t="n"/>
      <c r="I59" s="5" t="n"/>
      <c r="J59" s="6" t="n"/>
      <c r="K59" s="7" t="n"/>
      <c r="L59" s="2" t="inlineStr">
        <is>
          <t>미확인</t>
        </is>
      </c>
      <c r="M59" s="2" t="inlineStr">
        <is>
          <t>미확인</t>
        </is>
      </c>
      <c r="N59" s="8" t="n"/>
      <c r="O59" s="6" t="n"/>
    </row>
    <row r="60">
      <c r="A60" s="2" t="n">
        <v>59</v>
      </c>
      <c r="B60" s="2" t="inlineStr">
        <is>
          <t>청소·관리</t>
        </is>
      </c>
      <c r="C60" s="3" t="inlineStr">
        <is>
          <t>먼지 제거 브러시</t>
        </is>
      </c>
      <c r="D60" s="3" t="inlineStr">
        <is>
          <t>除尘刷</t>
        </is>
      </c>
      <c r="E60" s="4">
        <f>HYPERLINK("https://www.xiaohongshu.com/search_result?keyword="&amp;D60,"샤오홍슈 검색 열기")</f>
        <v/>
      </c>
      <c r="F60" s="4">
        <f>HYPERLINK("https://search.shopping.naver.com/search/all?query="&amp;C60,"네이버쇼핑 검색 열기")</f>
        <v/>
      </c>
      <c r="G60" s="5" t="n"/>
      <c r="H60" s="6" t="n"/>
      <c r="I60" s="5" t="n"/>
      <c r="J60" s="6" t="n"/>
      <c r="K60" s="7" t="n"/>
      <c r="L60" s="2" t="inlineStr">
        <is>
          <t>미확인</t>
        </is>
      </c>
      <c r="M60" s="2" t="inlineStr">
        <is>
          <t>미확인</t>
        </is>
      </c>
      <c r="N60" s="8" t="n"/>
      <c r="O60" s="6" t="n"/>
    </row>
    <row r="61">
      <c r="A61" s="2" t="n">
        <v>60</v>
      </c>
      <c r="B61" s="2" t="inlineStr">
        <is>
          <t>청소·관리</t>
        </is>
      </c>
      <c r="C61" s="3" t="inlineStr">
        <is>
          <t>틈새 청소 브러시</t>
        </is>
      </c>
      <c r="D61" s="3" t="inlineStr">
        <is>
          <t>缝隙清洁刷</t>
        </is>
      </c>
      <c r="E61" s="4">
        <f>HYPERLINK("https://www.xiaohongshu.com/search_result?keyword="&amp;D61,"샤오홍슈 검색 열기")</f>
        <v/>
      </c>
      <c r="F61" s="4">
        <f>HYPERLINK("https://search.shopping.naver.com/search/all?query="&amp;C61,"네이버쇼핑 검색 열기")</f>
        <v/>
      </c>
      <c r="G61" s="5" t="n"/>
      <c r="H61" s="6" t="n"/>
      <c r="I61" s="5" t="n"/>
      <c r="J61" s="6" t="n"/>
      <c r="K61" s="7" t="n"/>
      <c r="L61" s="2" t="inlineStr">
        <is>
          <t>미확인</t>
        </is>
      </c>
      <c r="M61" s="2" t="inlineStr">
        <is>
          <t>미확인</t>
        </is>
      </c>
      <c r="N61" s="8" t="n"/>
      <c r="O61" s="6" t="n"/>
    </row>
    <row r="62">
      <c r="A62" s="2" t="n">
        <v>61</v>
      </c>
      <c r="B62" s="2" t="inlineStr">
        <is>
          <t>청소·관리</t>
        </is>
      </c>
      <c r="C62" s="3" t="inlineStr">
        <is>
          <t>창틀 청소 도구</t>
        </is>
      </c>
      <c r="D62" s="3" t="inlineStr">
        <is>
          <t>窗槽清洁刷</t>
        </is>
      </c>
      <c r="E62" s="4">
        <f>HYPERLINK("https://www.xiaohongshu.com/search_result?keyword="&amp;D62,"샤오홍슈 검색 열기")</f>
        <v/>
      </c>
      <c r="F62" s="4">
        <f>HYPERLINK("https://search.shopping.naver.com/search/all?query="&amp;C62,"네이버쇼핑 검색 열기")</f>
        <v/>
      </c>
      <c r="G62" s="5" t="n"/>
      <c r="H62" s="6" t="n"/>
      <c r="I62" s="5" t="n"/>
      <c r="J62" s="6" t="n"/>
      <c r="K62" s="7" t="n"/>
      <c r="L62" s="2" t="inlineStr">
        <is>
          <t>미확인</t>
        </is>
      </c>
      <c r="M62" s="2" t="inlineStr">
        <is>
          <t>미확인</t>
        </is>
      </c>
      <c r="N62" s="8" t="n"/>
      <c r="O62" s="6" t="n"/>
    </row>
    <row r="63">
      <c r="A63" s="2" t="n">
        <v>62</v>
      </c>
      <c r="B63" s="2" t="inlineStr">
        <is>
          <t>청소·관리</t>
        </is>
      </c>
      <c r="C63" s="3" t="inlineStr">
        <is>
          <t>곰팡이 제거제</t>
        </is>
      </c>
      <c r="D63" s="3" t="inlineStr">
        <is>
          <t>除霉剂</t>
        </is>
      </c>
      <c r="E63" s="4">
        <f>HYPERLINK("https://www.xiaohongshu.com/search_result?keyword="&amp;D63,"샤오홍슈 검색 열기")</f>
        <v/>
      </c>
      <c r="F63" s="4">
        <f>HYPERLINK("https://search.shopping.naver.com/search/all?query="&amp;C63,"네이버쇼핑 검색 열기")</f>
        <v/>
      </c>
      <c r="G63" s="5" t="n"/>
      <c r="H63" s="6" t="n"/>
      <c r="I63" s="5" t="n"/>
      <c r="J63" s="6" t="n"/>
      <c r="K63" s="7" t="n"/>
      <c r="L63" s="2" t="inlineStr">
        <is>
          <t>미확인</t>
        </is>
      </c>
      <c r="M63" s="2" t="inlineStr">
        <is>
          <t>미확인</t>
        </is>
      </c>
      <c r="N63" s="8" t="n"/>
      <c r="O63" s="6" t="n"/>
    </row>
    <row r="64">
      <c r="A64" s="2" t="n">
        <v>63</v>
      </c>
      <c r="B64" s="2" t="inlineStr">
        <is>
          <t>청소·관리</t>
        </is>
      </c>
      <c r="C64" s="3" t="inlineStr">
        <is>
          <t>배수구 냄새 차단</t>
        </is>
      </c>
      <c r="D64" s="3" t="inlineStr">
        <is>
          <t>地漏防臭盖</t>
        </is>
      </c>
      <c r="E64" s="4">
        <f>HYPERLINK("https://www.xiaohongshu.com/search_result?keyword="&amp;D64,"샤오홍슈 검색 열기")</f>
        <v/>
      </c>
      <c r="F64" s="4">
        <f>HYPERLINK("https://search.shopping.naver.com/search/all?query="&amp;C64,"네이버쇼핑 검색 열기")</f>
        <v/>
      </c>
      <c r="G64" s="5" t="n"/>
      <c r="H64" s="6" t="n"/>
      <c r="I64" s="5" t="n"/>
      <c r="J64" s="6" t="n"/>
      <c r="K64" s="7" t="n"/>
      <c r="L64" s="2" t="inlineStr">
        <is>
          <t>미확인</t>
        </is>
      </c>
      <c r="M64" s="2" t="inlineStr">
        <is>
          <t>미확인</t>
        </is>
      </c>
      <c r="N64" s="8" t="n"/>
      <c r="O64" s="6" t="n"/>
    </row>
    <row r="65">
      <c r="A65" s="2" t="n">
        <v>64</v>
      </c>
      <c r="B65" s="2" t="inlineStr">
        <is>
          <t>청소·관리</t>
        </is>
      </c>
      <c r="C65" s="3" t="inlineStr">
        <is>
          <t>리모컨 실리콘 케이스</t>
        </is>
      </c>
      <c r="D65" s="3" t="inlineStr">
        <is>
          <t>遥控器保护套</t>
        </is>
      </c>
      <c r="E65" s="4">
        <f>HYPERLINK("https://www.xiaohongshu.com/search_result?keyword="&amp;D65,"샤오홍슈 검색 열기")</f>
        <v/>
      </c>
      <c r="F65" s="4">
        <f>HYPERLINK("https://search.shopping.naver.com/search/all?query="&amp;C65,"네이버쇼핑 검색 열기")</f>
        <v/>
      </c>
      <c r="G65" s="5" t="n"/>
      <c r="H65" s="6" t="n"/>
      <c r="I65" s="5" t="n"/>
      <c r="J65" s="6" t="n"/>
      <c r="K65" s="7" t="n"/>
      <c r="L65" s="2" t="inlineStr">
        <is>
          <t>미확인</t>
        </is>
      </c>
      <c r="M65" s="2" t="inlineStr">
        <is>
          <t>미확인</t>
        </is>
      </c>
      <c r="N65" s="8" t="n"/>
      <c r="O65" s="6" t="n"/>
    </row>
    <row r="66">
      <c r="A66" s="2" t="n">
        <v>65</v>
      </c>
      <c r="B66" s="2" t="inlineStr">
        <is>
          <t>청소·관리</t>
        </is>
      </c>
      <c r="C66" s="3" t="inlineStr">
        <is>
          <t>전선 정리 클립</t>
        </is>
      </c>
      <c r="D66" s="3" t="inlineStr">
        <is>
          <t>理线器</t>
        </is>
      </c>
      <c r="E66" s="4">
        <f>HYPERLINK("https://www.xiaohongshu.com/search_result?keyword="&amp;D66,"샤오홍슈 검색 열기")</f>
        <v/>
      </c>
      <c r="F66" s="4">
        <f>HYPERLINK("https://search.shopping.naver.com/search/all?query="&amp;C66,"네이버쇼핑 검색 열기")</f>
        <v/>
      </c>
      <c r="G66" s="5" t="n"/>
      <c r="H66" s="6" t="n"/>
      <c r="I66" s="5" t="n"/>
      <c r="J66" s="6" t="n"/>
      <c r="K66" s="7" t="n"/>
      <c r="L66" s="2" t="inlineStr">
        <is>
          <t>미확인</t>
        </is>
      </c>
      <c r="M66" s="2" t="inlineStr">
        <is>
          <t>미확인</t>
        </is>
      </c>
      <c r="N66" s="8" t="n"/>
      <c r="O66" s="6" t="n"/>
    </row>
    <row r="67">
      <c r="A67" s="2" t="n">
        <v>66</v>
      </c>
      <c r="B67" s="2" t="inlineStr">
        <is>
          <t>청소·관리</t>
        </is>
      </c>
      <c r="C67" s="3" t="inlineStr">
        <is>
          <t>벽걸이 수납 선반</t>
        </is>
      </c>
      <c r="D67" s="3" t="inlineStr">
        <is>
          <t>壁挂置物架</t>
        </is>
      </c>
      <c r="E67" s="4">
        <f>HYPERLINK("https://www.xiaohongshu.com/search_result?keyword="&amp;D67,"샤오홍슈 검색 열기")</f>
        <v/>
      </c>
      <c r="F67" s="4">
        <f>HYPERLINK("https://search.shopping.naver.com/search/all?query="&amp;C67,"네이버쇼핑 검색 열기")</f>
        <v/>
      </c>
      <c r="G67" s="5" t="n"/>
      <c r="H67" s="6" t="n"/>
      <c r="I67" s="5" t="n"/>
      <c r="J67" s="6" t="n"/>
      <c r="K67" s="7" t="n"/>
      <c r="L67" s="2" t="inlineStr">
        <is>
          <t>미확인</t>
        </is>
      </c>
      <c r="M67" s="2" t="inlineStr">
        <is>
          <t>미확인</t>
        </is>
      </c>
      <c r="N67" s="8" t="n"/>
      <c r="O67" s="6" t="n"/>
    </row>
    <row r="68">
      <c r="A68" s="2" t="n">
        <v>67</v>
      </c>
      <c r="B68" s="2" t="inlineStr">
        <is>
          <t>청소·관리</t>
        </is>
      </c>
      <c r="C68" s="3" t="inlineStr">
        <is>
          <t>무타공 선반</t>
        </is>
      </c>
      <c r="D68" s="3" t="inlineStr">
        <is>
          <t>免打孔置物架</t>
        </is>
      </c>
      <c r="E68" s="4">
        <f>HYPERLINK("https://www.xiaohongshu.com/search_result?keyword="&amp;D68,"샤오홍슈 검색 열기")</f>
        <v/>
      </c>
      <c r="F68" s="4">
        <f>HYPERLINK("https://search.shopping.naver.com/search/all?query="&amp;C68,"네이버쇼핑 검색 열기")</f>
        <v/>
      </c>
      <c r="G68" s="5" t="n"/>
      <c r="H68" s="6" t="n"/>
      <c r="I68" s="5" t="n"/>
      <c r="J68" s="6" t="n"/>
      <c r="K68" s="7" t="n"/>
      <c r="L68" s="2" t="inlineStr">
        <is>
          <t>미확인</t>
        </is>
      </c>
      <c r="M68" s="2" t="inlineStr">
        <is>
          <t>미확인</t>
        </is>
      </c>
      <c r="N68" s="8" t="n"/>
      <c r="O68" s="6" t="n"/>
    </row>
    <row r="69">
      <c r="A69" s="2" t="n">
        <v>68</v>
      </c>
      <c r="B69" s="2" t="inlineStr">
        <is>
          <t>청소·관리</t>
        </is>
      </c>
      <c r="C69" s="3" t="inlineStr">
        <is>
          <t>무타공 후크</t>
        </is>
      </c>
      <c r="D69" s="3" t="inlineStr">
        <is>
          <t>免打孔挂钩</t>
        </is>
      </c>
      <c r="E69" s="4">
        <f>HYPERLINK("https://www.xiaohongshu.com/search_result?keyword="&amp;D69,"샤오홍슈 검색 열기")</f>
        <v/>
      </c>
      <c r="F69" s="4">
        <f>HYPERLINK("https://search.shopping.naver.com/search/all?query="&amp;C69,"네이버쇼핑 검색 열기")</f>
        <v/>
      </c>
      <c r="G69" s="5" t="n"/>
      <c r="H69" s="6" t="n"/>
      <c r="I69" s="5" t="n"/>
      <c r="J69" s="6" t="n"/>
      <c r="K69" s="7" t="n"/>
      <c r="L69" s="2" t="inlineStr">
        <is>
          <t>미확인</t>
        </is>
      </c>
      <c r="M69" s="2" t="inlineStr">
        <is>
          <t>미확인</t>
        </is>
      </c>
      <c r="N69" s="8" t="n"/>
      <c r="O69" s="6" t="n"/>
    </row>
    <row r="70">
      <c r="A70" s="2" t="n">
        <v>69</v>
      </c>
      <c r="B70" s="2" t="inlineStr">
        <is>
          <t>청소·관리</t>
        </is>
      </c>
      <c r="C70" s="3" t="inlineStr">
        <is>
          <t>벽 구멍 메꿈</t>
        </is>
      </c>
      <c r="D70" s="3" t="inlineStr">
        <is>
          <t>墙洞修补膏</t>
        </is>
      </c>
      <c r="E70" s="4">
        <f>HYPERLINK("https://www.xiaohongshu.com/search_result?keyword="&amp;D70,"샤오홍슈 검색 열기")</f>
        <v/>
      </c>
      <c r="F70" s="4">
        <f>HYPERLINK("https://search.shopping.naver.com/search/all?query="&amp;C70,"네이버쇼핑 검색 열기")</f>
        <v/>
      </c>
      <c r="G70" s="5" t="n"/>
      <c r="H70" s="6" t="n"/>
      <c r="I70" s="5" t="n"/>
      <c r="J70" s="6" t="n"/>
      <c r="K70" s="7" t="n"/>
      <c r="L70" s="2" t="inlineStr">
        <is>
          <t>미확인</t>
        </is>
      </c>
      <c r="M70" s="2" t="inlineStr">
        <is>
          <t>미확인</t>
        </is>
      </c>
      <c r="N70" s="8" t="n"/>
      <c r="O70" s="6" t="n"/>
    </row>
    <row r="71">
      <c r="A71" s="2" t="n">
        <v>70</v>
      </c>
      <c r="B71" s="2" t="inlineStr">
        <is>
          <t>청소·관리</t>
        </is>
      </c>
      <c r="C71" s="3" t="inlineStr">
        <is>
          <t>배관 구멍 마감 캡</t>
        </is>
      </c>
      <c r="D71" s="3" t="inlineStr">
        <is>
          <t>空调孔装饰盖</t>
        </is>
      </c>
      <c r="E71" s="4">
        <f>HYPERLINK("https://www.xiaohongshu.com/search_result?keyword="&amp;D71,"샤오홍슈 검색 열기")</f>
        <v/>
      </c>
      <c r="F71" s="4">
        <f>HYPERLINK("https://search.shopping.naver.com/search/all?query="&amp;C71,"네이버쇼핑 검색 열기")</f>
        <v/>
      </c>
      <c r="G71" s="5" t="n"/>
      <c r="H71" s="6" t="n"/>
      <c r="I71" s="5" t="n"/>
      <c r="J71" s="6" t="n"/>
      <c r="K71" s="7" t="n"/>
      <c r="L71" s="2" t="inlineStr">
        <is>
          <t>미확인</t>
        </is>
      </c>
      <c r="M71" s="2" t="inlineStr">
        <is>
          <t>미확인</t>
        </is>
      </c>
      <c r="N71" s="8" t="n"/>
      <c r="O71" s="6" t="n"/>
    </row>
    <row r="72">
      <c r="A72" s="2" t="n">
        <v>71</v>
      </c>
      <c r="B72" s="2" t="inlineStr">
        <is>
          <t>소형가전</t>
        </is>
      </c>
      <c r="C72" s="3" t="inlineStr">
        <is>
          <t>미니 냉장고</t>
        </is>
      </c>
      <c r="D72" s="3" t="inlineStr">
        <is>
          <t>迷你冰箱</t>
        </is>
      </c>
      <c r="E72" s="4">
        <f>HYPERLINK("https://www.xiaohongshu.com/search_result?keyword="&amp;D72,"샤오홍슈 검색 열기")</f>
        <v/>
      </c>
      <c r="F72" s="4">
        <f>HYPERLINK("https://search.shopping.naver.com/search/all?query="&amp;C72,"네이버쇼핑 검색 열기")</f>
        <v/>
      </c>
      <c r="G72" s="5" t="n"/>
      <c r="H72" s="6" t="n"/>
      <c r="I72" s="5" t="n"/>
      <c r="J72" s="6" t="n"/>
      <c r="K72" s="7" t="n"/>
      <c r="L72" s="2" t="inlineStr">
        <is>
          <t>미확인</t>
        </is>
      </c>
      <c r="M72" s="2" t="inlineStr">
        <is>
          <t>미확인</t>
        </is>
      </c>
      <c r="N72" s="8" t="n"/>
      <c r="O72" s="6" t="n"/>
    </row>
    <row r="73">
      <c r="A73" s="2" t="n">
        <v>72</v>
      </c>
      <c r="B73" s="2" t="inlineStr">
        <is>
          <t>소형가전</t>
        </is>
      </c>
      <c r="C73" s="3" t="inlineStr">
        <is>
          <t>무선 청소기</t>
        </is>
      </c>
      <c r="D73" s="3" t="inlineStr">
        <is>
          <t>无线吸尘器</t>
        </is>
      </c>
      <c r="E73" s="4">
        <f>HYPERLINK("https://www.xiaohongshu.com/search_result?keyword="&amp;D73,"샤오홍슈 검색 열기")</f>
        <v/>
      </c>
      <c r="F73" s="4">
        <f>HYPERLINK("https://search.shopping.naver.com/search/all?query="&amp;C73,"네이버쇼핑 검색 열기")</f>
        <v/>
      </c>
      <c r="G73" s="5" t="n"/>
      <c r="H73" s="6" t="n"/>
      <c r="I73" s="5" t="n"/>
      <c r="J73" s="6" t="n"/>
      <c r="K73" s="7" t="n"/>
      <c r="L73" s="2" t="inlineStr">
        <is>
          <t>미확인</t>
        </is>
      </c>
      <c r="M73" s="2" t="inlineStr">
        <is>
          <t>미확인</t>
        </is>
      </c>
      <c r="N73" s="8" t="n"/>
      <c r="O73" s="6" t="n"/>
    </row>
    <row r="74">
      <c r="A74" s="2" t="n">
        <v>73</v>
      </c>
      <c r="B74" s="2" t="inlineStr">
        <is>
          <t>소형가전</t>
        </is>
      </c>
      <c r="C74" s="3" t="inlineStr">
        <is>
          <t>로봇 청소기</t>
        </is>
      </c>
      <c r="D74" s="3" t="inlineStr">
        <is>
          <t>扫地机器人</t>
        </is>
      </c>
      <c r="E74" s="4">
        <f>HYPERLINK("https://www.xiaohongshu.com/search_result?keyword="&amp;D74,"샤오홍슈 검색 열기")</f>
        <v/>
      </c>
      <c r="F74" s="4">
        <f>HYPERLINK("https://search.shopping.naver.com/search/all?query="&amp;C74,"네이버쇼핑 검색 열기")</f>
        <v/>
      </c>
      <c r="G74" s="5" t="n"/>
      <c r="H74" s="6" t="n"/>
      <c r="I74" s="5" t="n"/>
      <c r="J74" s="6" t="n"/>
      <c r="K74" s="7" t="n"/>
      <c r="L74" s="2" t="inlineStr">
        <is>
          <t>미확인</t>
        </is>
      </c>
      <c r="M74" s="2" t="inlineStr">
        <is>
          <t>미확인</t>
        </is>
      </c>
      <c r="N74" s="8" t="n"/>
      <c r="O74" s="6" t="n"/>
    </row>
    <row r="75">
      <c r="A75" s="2" t="n">
        <v>74</v>
      </c>
      <c r="B75" s="2" t="inlineStr">
        <is>
          <t>소형가전</t>
        </is>
      </c>
      <c r="C75" s="3" t="inlineStr">
        <is>
          <t>식기 건조대</t>
        </is>
      </c>
      <c r="D75" s="3" t="inlineStr">
        <is>
          <t>碗碟沥水架</t>
        </is>
      </c>
      <c r="E75" s="4">
        <f>HYPERLINK("https://www.xiaohongshu.com/search_result?keyword="&amp;D75,"샤오홍슈 검색 열기")</f>
        <v/>
      </c>
      <c r="F75" s="4">
        <f>HYPERLINK("https://search.shopping.naver.com/search/all?query="&amp;C75,"네이버쇼핑 검색 열기")</f>
        <v/>
      </c>
      <c r="G75" s="5" t="n"/>
      <c r="H75" s="6" t="n"/>
      <c r="I75" s="5" t="n"/>
      <c r="J75" s="6" t="n"/>
      <c r="K75" s="7" t="n"/>
      <c r="L75" s="2" t="inlineStr">
        <is>
          <t>미확인</t>
        </is>
      </c>
      <c r="M75" s="2" t="inlineStr">
        <is>
          <t>미확인</t>
        </is>
      </c>
      <c r="N75" s="8" t="n"/>
      <c r="O75" s="6" t="n"/>
    </row>
    <row r="76">
      <c r="A76" s="2" t="n">
        <v>75</v>
      </c>
      <c r="B76" s="2" t="inlineStr">
        <is>
          <t>소형가전</t>
        </is>
      </c>
      <c r="C76" s="3" t="inlineStr">
        <is>
          <t>전기 포트</t>
        </is>
      </c>
      <c r="D76" s="3" t="inlineStr">
        <is>
          <t>电热水壶</t>
        </is>
      </c>
      <c r="E76" s="4">
        <f>HYPERLINK("https://www.xiaohongshu.com/search_result?keyword="&amp;D76,"샤오홍슈 검색 열기")</f>
        <v/>
      </c>
      <c r="F76" s="4">
        <f>HYPERLINK("https://search.shopping.naver.com/search/all?query="&amp;C76,"네이버쇼핑 검색 열기")</f>
        <v/>
      </c>
      <c r="G76" s="5" t="n"/>
      <c r="H76" s="6" t="n"/>
      <c r="I76" s="5" t="n"/>
      <c r="J76" s="6" t="n"/>
      <c r="K76" s="7" t="n"/>
      <c r="L76" s="2" t="inlineStr">
        <is>
          <t>미확인</t>
        </is>
      </c>
      <c r="M76" s="2" t="inlineStr">
        <is>
          <t>미확인</t>
        </is>
      </c>
      <c r="N76" s="8" t="n"/>
      <c r="O76" s="6" t="n"/>
    </row>
    <row r="77">
      <c r="A77" s="2" t="n">
        <v>76</v>
      </c>
      <c r="B77" s="2" t="inlineStr">
        <is>
          <t>소형가전</t>
        </is>
      </c>
      <c r="C77" s="3" t="inlineStr">
        <is>
          <t>에어프라이어</t>
        </is>
      </c>
      <c r="D77" s="3" t="inlineStr">
        <is>
          <t>空气炸锅</t>
        </is>
      </c>
      <c r="E77" s="4">
        <f>HYPERLINK("https://www.xiaohongshu.com/search_result?keyword="&amp;D77,"샤오홍슈 검색 열기")</f>
        <v/>
      </c>
      <c r="F77" s="4">
        <f>HYPERLINK("https://search.shopping.naver.com/search/all?query="&amp;C77,"네이버쇼핑 검색 열기")</f>
        <v/>
      </c>
      <c r="G77" s="5" t="n"/>
      <c r="H77" s="6" t="n"/>
      <c r="I77" s="5" t="n"/>
      <c r="J77" s="6" t="n"/>
      <c r="K77" s="7" t="n"/>
      <c r="L77" s="2" t="inlineStr">
        <is>
          <t>미확인</t>
        </is>
      </c>
      <c r="M77" s="2" t="inlineStr">
        <is>
          <t>미확인</t>
        </is>
      </c>
      <c r="N77" s="8" t="n"/>
      <c r="O77" s="6" t="n"/>
    </row>
    <row r="78">
      <c r="A78" s="2" t="n">
        <v>77</v>
      </c>
      <c r="B78" s="2" t="inlineStr">
        <is>
          <t>소형가전</t>
        </is>
      </c>
      <c r="C78" s="3" t="inlineStr">
        <is>
          <t>미니 세탁기</t>
        </is>
      </c>
      <c r="D78" s="3" t="inlineStr">
        <is>
          <t>迷你洗衣机</t>
        </is>
      </c>
      <c r="E78" s="4">
        <f>HYPERLINK("https://www.xiaohongshu.com/search_result?keyword="&amp;D78,"샤오홍슈 검색 열기")</f>
        <v/>
      </c>
      <c r="F78" s="4">
        <f>HYPERLINK("https://search.shopping.naver.com/search/all?query="&amp;C78,"네이버쇼핑 검색 열기")</f>
        <v/>
      </c>
      <c r="G78" s="5" t="n"/>
      <c r="H78" s="6" t="n"/>
      <c r="I78" s="5" t="n"/>
      <c r="J78" s="6" t="n"/>
      <c r="K78" s="7" t="n"/>
      <c r="L78" s="2" t="inlineStr">
        <is>
          <t>미확인</t>
        </is>
      </c>
      <c r="M78" s="2" t="inlineStr">
        <is>
          <t>미확인</t>
        </is>
      </c>
      <c r="N78" s="8" t="n"/>
      <c r="O78" s="6" t="n"/>
    </row>
    <row r="79">
      <c r="A79" s="2" t="n">
        <v>78</v>
      </c>
      <c r="B79" s="2" t="inlineStr">
        <is>
          <t>소형가전</t>
        </is>
      </c>
      <c r="C79" s="3" t="inlineStr">
        <is>
          <t>의류 건조기</t>
        </is>
      </c>
      <c r="D79" s="3" t="inlineStr">
        <is>
          <t>干衣机</t>
        </is>
      </c>
      <c r="E79" s="4">
        <f>HYPERLINK("https://www.xiaohongshu.com/search_result?keyword="&amp;D79,"샤오홍슈 검색 열기")</f>
        <v/>
      </c>
      <c r="F79" s="4">
        <f>HYPERLINK("https://search.shopping.naver.com/search/all?query="&amp;C79,"네이버쇼핑 검색 열기")</f>
        <v/>
      </c>
      <c r="G79" s="5" t="n"/>
      <c r="H79" s="6" t="n"/>
      <c r="I79" s="5" t="n"/>
      <c r="J79" s="6" t="n"/>
      <c r="K79" s="7" t="n"/>
      <c r="L79" s="2" t="inlineStr">
        <is>
          <t>미확인</t>
        </is>
      </c>
      <c r="M79" s="2" t="inlineStr">
        <is>
          <t>미확인</t>
        </is>
      </c>
      <c r="N79" s="8" t="n"/>
      <c r="O79" s="6" t="n"/>
    </row>
    <row r="80">
      <c r="A80" s="2" t="n">
        <v>79</v>
      </c>
      <c r="B80" s="2" t="inlineStr">
        <is>
          <t>소형가전</t>
        </is>
      </c>
      <c r="C80" s="3" t="inlineStr">
        <is>
          <t>스팀 다리미</t>
        </is>
      </c>
      <c r="D80" s="3" t="inlineStr">
        <is>
          <t>挂烫机</t>
        </is>
      </c>
      <c r="E80" s="4">
        <f>HYPERLINK("https://www.xiaohongshu.com/search_result?keyword="&amp;D80,"샤오홍슈 검색 열기")</f>
        <v/>
      </c>
      <c r="F80" s="4">
        <f>HYPERLINK("https://search.shopping.naver.com/search/all?query="&amp;C80,"네이버쇼핑 검색 열기")</f>
        <v/>
      </c>
      <c r="G80" s="5" t="n"/>
      <c r="H80" s="6" t="n"/>
      <c r="I80" s="5" t="n"/>
      <c r="J80" s="6" t="n"/>
      <c r="K80" s="7" t="n"/>
      <c r="L80" s="2" t="inlineStr">
        <is>
          <t>미확인</t>
        </is>
      </c>
      <c r="M80" s="2" t="inlineStr">
        <is>
          <t>미확인</t>
        </is>
      </c>
      <c r="N80" s="8" t="n"/>
      <c r="O80" s="6" t="n"/>
    </row>
    <row r="81">
      <c r="A81" s="2" t="n">
        <v>80</v>
      </c>
      <c r="B81" s="2" t="inlineStr">
        <is>
          <t>소형가전</t>
        </is>
      </c>
      <c r="C81" s="3" t="inlineStr">
        <is>
          <t>전동 칫솔</t>
        </is>
      </c>
      <c r="D81" s="3" t="inlineStr">
        <is>
          <t>电动牙刷</t>
        </is>
      </c>
      <c r="E81" s="4">
        <f>HYPERLINK("https://www.xiaohongshu.com/search_result?keyword="&amp;D81,"샤오홍슈 검색 열기")</f>
        <v/>
      </c>
      <c r="F81" s="4">
        <f>HYPERLINK("https://search.shopping.naver.com/search/all?query="&amp;C81,"네이버쇼핑 검색 열기")</f>
        <v/>
      </c>
      <c r="G81" s="5" t="n"/>
      <c r="H81" s="6" t="n"/>
      <c r="I81" s="5" t="n"/>
      <c r="J81" s="6" t="n"/>
      <c r="K81" s="7" t="n"/>
      <c r="L81" s="2" t="inlineStr">
        <is>
          <t>미확인</t>
        </is>
      </c>
      <c r="M81" s="2" t="inlineStr">
        <is>
          <t>미확인</t>
        </is>
      </c>
      <c r="N81" s="8" t="n"/>
      <c r="O81" s="6" t="n"/>
    </row>
    <row r="82">
      <c r="A82" s="2" t="n">
        <v>81</v>
      </c>
      <c r="B82" s="2" t="inlineStr">
        <is>
          <t>소형가전</t>
        </is>
      </c>
      <c r="C82" s="3" t="inlineStr">
        <is>
          <t>무선 충전기</t>
        </is>
      </c>
      <c r="D82" s="3" t="inlineStr">
        <is>
          <t>无线充电器</t>
        </is>
      </c>
      <c r="E82" s="4">
        <f>HYPERLINK("https://www.xiaohongshu.com/search_result?keyword="&amp;D82,"샤오홍슈 검색 열기")</f>
        <v/>
      </c>
      <c r="F82" s="4">
        <f>HYPERLINK("https://search.shopping.naver.com/search/all?query="&amp;C82,"네이버쇼핑 검색 열기")</f>
        <v/>
      </c>
      <c r="G82" s="5" t="n"/>
      <c r="H82" s="6" t="n"/>
      <c r="I82" s="5" t="n"/>
      <c r="J82" s="6" t="n"/>
      <c r="K82" s="7" t="n"/>
      <c r="L82" s="2" t="inlineStr">
        <is>
          <t>미확인</t>
        </is>
      </c>
      <c r="M82" s="2" t="inlineStr">
        <is>
          <t>미확인</t>
        </is>
      </c>
      <c r="N82" s="8" t="n"/>
      <c r="O82" s="6" t="n"/>
    </row>
    <row r="83">
      <c r="A83" s="2" t="n">
        <v>82</v>
      </c>
      <c r="B83" s="2" t="inlineStr">
        <is>
          <t>소형가전</t>
        </is>
      </c>
      <c r="C83" s="3" t="inlineStr">
        <is>
          <t>보조배터리</t>
        </is>
      </c>
      <c r="D83" s="3" t="inlineStr">
        <is>
          <t>充电宝</t>
        </is>
      </c>
      <c r="E83" s="4">
        <f>HYPERLINK("https://www.xiaohongshu.com/search_result?keyword="&amp;D83,"샤오홍슈 검색 열기")</f>
        <v/>
      </c>
      <c r="F83" s="4">
        <f>HYPERLINK("https://search.shopping.naver.com/search/all?query="&amp;C83,"네이버쇼핑 검색 열기")</f>
        <v/>
      </c>
      <c r="G83" s="5" t="n"/>
      <c r="H83" s="6" t="n"/>
      <c r="I83" s="5" t="n"/>
      <c r="J83" s="6" t="n"/>
      <c r="K83" s="7" t="n"/>
      <c r="L83" s="2" t="inlineStr">
        <is>
          <t>미확인</t>
        </is>
      </c>
      <c r="M83" s="2" t="inlineStr">
        <is>
          <t>미확인</t>
        </is>
      </c>
      <c r="N83" s="8" t="n"/>
      <c r="O83" s="6" t="n"/>
    </row>
    <row r="84">
      <c r="A84" s="2" t="n">
        <v>83</v>
      </c>
      <c r="B84" s="2" t="inlineStr">
        <is>
          <t>소형가전</t>
        </is>
      </c>
      <c r="C84" s="3" t="inlineStr">
        <is>
          <t>스마트 플러그</t>
        </is>
      </c>
      <c r="D84" s="3" t="inlineStr">
        <is>
          <t>智能插座</t>
        </is>
      </c>
      <c r="E84" s="4">
        <f>HYPERLINK("https://www.xiaohongshu.com/search_result?keyword="&amp;D84,"샤오홍슈 검색 열기")</f>
        <v/>
      </c>
      <c r="F84" s="4">
        <f>HYPERLINK("https://search.shopping.naver.com/search/all?query="&amp;C84,"네이버쇼핑 검색 열기")</f>
        <v/>
      </c>
      <c r="G84" s="5" t="n"/>
      <c r="H84" s="6" t="n"/>
      <c r="I84" s="5" t="n"/>
      <c r="J84" s="6" t="n"/>
      <c r="K84" s="7" t="n"/>
      <c r="L84" s="2" t="inlineStr">
        <is>
          <t>미확인</t>
        </is>
      </c>
      <c r="M84" s="2" t="inlineStr">
        <is>
          <t>미확인</t>
        </is>
      </c>
      <c r="N84" s="8" t="n"/>
      <c r="O84" s="6" t="n"/>
    </row>
    <row r="85">
      <c r="A85" s="2" t="n">
        <v>84</v>
      </c>
      <c r="B85" s="2" t="inlineStr">
        <is>
          <t>소형가전</t>
        </is>
      </c>
      <c r="C85" s="3" t="inlineStr">
        <is>
          <t>LED 무드등</t>
        </is>
      </c>
      <c r="D85" s="3" t="inlineStr">
        <is>
          <t>氛围灯</t>
        </is>
      </c>
      <c r="E85" s="4">
        <f>HYPERLINK("https://www.xiaohongshu.com/search_result?keyword="&amp;D85,"샤오홍슈 검색 열기")</f>
        <v/>
      </c>
      <c r="F85" s="4">
        <f>HYPERLINK("https://search.shopping.naver.com/search/all?query="&amp;C85,"네이버쇼핑 검색 열기")</f>
        <v/>
      </c>
      <c r="G85" s="5" t="n"/>
      <c r="H85" s="6" t="n"/>
      <c r="I85" s="5" t="n"/>
      <c r="J85" s="6" t="n"/>
      <c r="K85" s="7" t="n"/>
      <c r="L85" s="2" t="inlineStr">
        <is>
          <t>미확인</t>
        </is>
      </c>
      <c r="M85" s="2" t="inlineStr">
        <is>
          <t>미확인</t>
        </is>
      </c>
      <c r="N85" s="8" t="n"/>
      <c r="O85" s="6" t="n"/>
    </row>
    <row r="86">
      <c r="A86" s="2" t="n">
        <v>85</v>
      </c>
      <c r="B86" s="2" t="inlineStr">
        <is>
          <t>소형가전</t>
        </is>
      </c>
      <c r="C86" s="3" t="inlineStr">
        <is>
          <t>센서등</t>
        </is>
      </c>
      <c r="D86" s="3" t="inlineStr">
        <is>
          <t>感应灯</t>
        </is>
      </c>
      <c r="E86" s="4">
        <f>HYPERLINK("https://www.xiaohongshu.com/search_result?keyword="&amp;D86,"샤오홍슈 검색 열기")</f>
        <v/>
      </c>
      <c r="F86" s="4">
        <f>HYPERLINK("https://search.shopping.naver.com/search/all?query="&amp;C86,"네이버쇼핑 검색 열기")</f>
        <v/>
      </c>
      <c r="G86" s="5" t="n"/>
      <c r="H86" s="6" t="n"/>
      <c r="I86" s="5" t="n"/>
      <c r="J86" s="6" t="n"/>
      <c r="K86" s="7" t="n"/>
      <c r="L86" s="2" t="inlineStr">
        <is>
          <t>미확인</t>
        </is>
      </c>
      <c r="M86" s="2" t="inlineStr">
        <is>
          <t>미확인</t>
        </is>
      </c>
      <c r="N86" s="8" t="n"/>
      <c r="O86" s="6" t="n"/>
    </row>
    <row r="87">
      <c r="A87" s="2" t="n">
        <v>86</v>
      </c>
      <c r="B87" s="2" t="inlineStr">
        <is>
          <t>생활소품</t>
        </is>
      </c>
      <c r="C87" s="3" t="inlineStr">
        <is>
          <t>밀폐용기</t>
        </is>
      </c>
      <c r="D87" s="3" t="inlineStr">
        <is>
          <t>密封罐</t>
        </is>
      </c>
      <c r="E87" s="4">
        <f>HYPERLINK("https://www.xiaohongshu.com/search_result?keyword="&amp;D87,"샤오홍슈 검색 열기")</f>
        <v/>
      </c>
      <c r="F87" s="4">
        <f>HYPERLINK("https://search.shopping.naver.com/search/all?query="&amp;C87,"네이버쇼핑 검색 열기")</f>
        <v/>
      </c>
      <c r="G87" s="5" t="n"/>
      <c r="H87" s="6" t="n"/>
      <c r="I87" s="5" t="n"/>
      <c r="J87" s="6" t="n"/>
      <c r="K87" s="7" t="n"/>
      <c r="L87" s="2" t="inlineStr">
        <is>
          <t>미확인</t>
        </is>
      </c>
      <c r="M87" s="2" t="inlineStr">
        <is>
          <t>미확인</t>
        </is>
      </c>
      <c r="N87" s="8" t="n"/>
      <c r="O87" s="6" t="n"/>
    </row>
    <row r="88">
      <c r="A88" s="2" t="n">
        <v>87</v>
      </c>
      <c r="B88" s="2" t="inlineStr">
        <is>
          <t>생활소품</t>
        </is>
      </c>
      <c r="C88" s="3" t="inlineStr">
        <is>
          <t>주방 수납 정리함</t>
        </is>
      </c>
      <c r="D88" s="3" t="inlineStr">
        <is>
          <t>厨房收纳盒</t>
        </is>
      </c>
      <c r="E88" s="4">
        <f>HYPERLINK("https://www.xiaohongshu.com/search_result?keyword="&amp;D88,"샤오홍슈 검색 열기")</f>
        <v/>
      </c>
      <c r="F88" s="4">
        <f>HYPERLINK("https://search.shopping.naver.com/search/all?query="&amp;C88,"네이버쇼핑 검색 열기")</f>
        <v/>
      </c>
      <c r="G88" s="5" t="n"/>
      <c r="H88" s="6" t="n"/>
      <c r="I88" s="5" t="n"/>
      <c r="J88" s="6" t="n"/>
      <c r="K88" s="7" t="n"/>
      <c r="L88" s="2" t="inlineStr">
        <is>
          <t>미확인</t>
        </is>
      </c>
      <c r="M88" s="2" t="inlineStr">
        <is>
          <t>미확인</t>
        </is>
      </c>
      <c r="N88" s="8" t="n"/>
      <c r="O88" s="6" t="n"/>
    </row>
    <row r="89">
      <c r="A89" s="2" t="n">
        <v>88</v>
      </c>
      <c r="B89" s="2" t="inlineStr">
        <is>
          <t>생활소품</t>
        </is>
      </c>
      <c r="C89" s="3" t="inlineStr">
        <is>
          <t>물병</t>
        </is>
      </c>
      <c r="D89" s="3" t="inlineStr">
        <is>
          <t>水杯</t>
        </is>
      </c>
      <c r="E89" s="4">
        <f>HYPERLINK("https://www.xiaohongshu.com/search_result?keyword="&amp;D89,"샤오홍슈 검색 열기")</f>
        <v/>
      </c>
      <c r="F89" s="4">
        <f>HYPERLINK("https://search.shopping.naver.com/search/all?query="&amp;C89,"네이버쇼핑 검색 열기")</f>
        <v/>
      </c>
      <c r="G89" s="5" t="n"/>
      <c r="H89" s="6" t="n"/>
      <c r="I89" s="5" t="n"/>
      <c r="J89" s="6" t="n"/>
      <c r="K89" s="7" t="n"/>
      <c r="L89" s="2" t="inlineStr">
        <is>
          <t>미확인</t>
        </is>
      </c>
      <c r="M89" s="2" t="inlineStr">
        <is>
          <t>미확인</t>
        </is>
      </c>
      <c r="N89" s="8" t="n"/>
      <c r="O89" s="6" t="n"/>
    </row>
    <row r="90">
      <c r="A90" s="2" t="n">
        <v>89</v>
      </c>
      <c r="B90" s="2" t="inlineStr">
        <is>
          <t>생활소품</t>
        </is>
      </c>
      <c r="C90" s="3" t="inlineStr">
        <is>
          <t>텀블러</t>
        </is>
      </c>
      <c r="D90" s="3" t="inlineStr">
        <is>
          <t>保温杯</t>
        </is>
      </c>
      <c r="E90" s="4">
        <f>HYPERLINK("https://www.xiaohongshu.com/search_result?keyword="&amp;D90,"샤오홍슈 검색 열기")</f>
        <v/>
      </c>
      <c r="F90" s="4">
        <f>HYPERLINK("https://search.shopping.naver.com/search/all?query="&amp;C90,"네이버쇼핑 검색 열기")</f>
        <v/>
      </c>
      <c r="G90" s="5" t="n"/>
      <c r="H90" s="6" t="n"/>
      <c r="I90" s="5" t="n"/>
      <c r="J90" s="6" t="n"/>
      <c r="K90" s="7" t="n"/>
      <c r="L90" s="2" t="inlineStr">
        <is>
          <t>미확인</t>
        </is>
      </c>
      <c r="M90" s="2" t="inlineStr">
        <is>
          <t>미확인</t>
        </is>
      </c>
      <c r="N90" s="8" t="n"/>
      <c r="O90" s="6" t="n"/>
    </row>
    <row r="91">
      <c r="A91" s="2" t="n">
        <v>90</v>
      </c>
      <c r="B91" s="2" t="inlineStr">
        <is>
          <t>생활소품</t>
        </is>
      </c>
      <c r="C91" s="3" t="inlineStr">
        <is>
          <t>실리콘 주방도구</t>
        </is>
      </c>
      <c r="D91" s="3" t="inlineStr">
        <is>
          <t>硅胶厨具</t>
        </is>
      </c>
      <c r="E91" s="4">
        <f>HYPERLINK("https://www.xiaohongshu.com/search_result?keyword="&amp;D91,"샤오홍슈 검색 열기")</f>
        <v/>
      </c>
      <c r="F91" s="4">
        <f>HYPERLINK("https://search.shopping.naver.com/search/all?query="&amp;C91,"네이버쇼핑 검색 열기")</f>
        <v/>
      </c>
      <c r="G91" s="5" t="n"/>
      <c r="H91" s="6" t="n"/>
      <c r="I91" s="5" t="n"/>
      <c r="J91" s="6" t="n"/>
      <c r="K91" s="7" t="n"/>
      <c r="L91" s="2" t="inlineStr">
        <is>
          <t>미확인</t>
        </is>
      </c>
      <c r="M91" s="2" t="inlineStr">
        <is>
          <t>미확인</t>
        </is>
      </c>
      <c r="N91" s="8" t="n"/>
      <c r="O91" s="6" t="n"/>
    </row>
    <row r="92">
      <c r="A92" s="2" t="n">
        <v>91</v>
      </c>
      <c r="B92" s="2" t="inlineStr">
        <is>
          <t>생활소품</t>
        </is>
      </c>
      <c r="C92" s="3" t="inlineStr">
        <is>
          <t>수납 바구니</t>
        </is>
      </c>
      <c r="D92" s="3" t="inlineStr">
        <is>
          <t>收纳篮</t>
        </is>
      </c>
      <c r="E92" s="4">
        <f>HYPERLINK("https://www.xiaohongshu.com/search_result?keyword="&amp;D92,"샤오홍슈 검색 열기")</f>
        <v/>
      </c>
      <c r="F92" s="4">
        <f>HYPERLINK("https://search.shopping.naver.com/search/all?query="&amp;C92,"네이버쇼핑 검색 열기")</f>
        <v/>
      </c>
      <c r="G92" s="5" t="n"/>
      <c r="H92" s="6" t="n"/>
      <c r="I92" s="5" t="n"/>
      <c r="J92" s="6" t="n"/>
      <c r="K92" s="7" t="n"/>
      <c r="L92" s="2" t="inlineStr">
        <is>
          <t>미확인</t>
        </is>
      </c>
      <c r="M92" s="2" t="inlineStr">
        <is>
          <t>미확인</t>
        </is>
      </c>
      <c r="N92" s="8" t="n"/>
      <c r="O92" s="6" t="n"/>
    </row>
    <row r="93">
      <c r="A93" s="2" t="n">
        <v>92</v>
      </c>
      <c r="B93" s="2" t="inlineStr">
        <is>
          <t>생활소품</t>
        </is>
      </c>
      <c r="C93" s="3" t="inlineStr">
        <is>
          <t>옷걸이</t>
        </is>
      </c>
      <c r="D93" s="3" t="inlineStr">
        <is>
          <t>衣架</t>
        </is>
      </c>
      <c r="E93" s="4">
        <f>HYPERLINK("https://www.xiaohongshu.com/search_result?keyword="&amp;D93,"샤오홍슈 검색 열기")</f>
        <v/>
      </c>
      <c r="F93" s="4">
        <f>HYPERLINK("https://search.shopping.naver.com/search/all?query="&amp;C93,"네이버쇼핑 검색 열기")</f>
        <v/>
      </c>
      <c r="G93" s="5" t="n"/>
      <c r="H93" s="6" t="n"/>
      <c r="I93" s="5" t="n"/>
      <c r="J93" s="6" t="n"/>
      <c r="K93" s="7" t="n"/>
      <c r="L93" s="2" t="inlineStr">
        <is>
          <t>미확인</t>
        </is>
      </c>
      <c r="M93" s="2" t="inlineStr">
        <is>
          <t>미확인</t>
        </is>
      </c>
      <c r="N93" s="8" t="n"/>
      <c r="O93" s="6" t="n"/>
    </row>
    <row r="94">
      <c r="A94" s="2" t="n">
        <v>93</v>
      </c>
      <c r="B94" s="2" t="inlineStr">
        <is>
          <t>생활소품</t>
        </is>
      </c>
      <c r="C94" s="3" t="inlineStr">
        <is>
          <t>신발 정리대</t>
        </is>
      </c>
      <c r="D94" s="3" t="inlineStr">
        <is>
          <t>鞋架</t>
        </is>
      </c>
      <c r="E94" s="4">
        <f>HYPERLINK("https://www.xiaohongshu.com/search_result?keyword="&amp;D94,"샤오홍슈 검색 열기")</f>
        <v/>
      </c>
      <c r="F94" s="4">
        <f>HYPERLINK("https://search.shopping.naver.com/search/all?query="&amp;C94,"네이버쇼핑 검색 열기")</f>
        <v/>
      </c>
      <c r="G94" s="5" t="n"/>
      <c r="H94" s="6" t="n"/>
      <c r="I94" s="5" t="n"/>
      <c r="J94" s="6" t="n"/>
      <c r="K94" s="7" t="n"/>
      <c r="L94" s="2" t="inlineStr">
        <is>
          <t>미확인</t>
        </is>
      </c>
      <c r="M94" s="2" t="inlineStr">
        <is>
          <t>미확인</t>
        </is>
      </c>
      <c r="N94" s="8" t="n"/>
      <c r="O94" s="6" t="n"/>
    </row>
    <row r="95">
      <c r="A95" s="2" t="n">
        <v>94</v>
      </c>
      <c r="B95" s="2" t="inlineStr">
        <is>
          <t>생활소품</t>
        </is>
      </c>
      <c r="C95" s="3" t="inlineStr">
        <is>
          <t>욕실 선반</t>
        </is>
      </c>
      <c r="D95" s="3" t="inlineStr">
        <is>
          <t>浴室置物架</t>
        </is>
      </c>
      <c r="E95" s="4">
        <f>HYPERLINK("https://www.xiaohongshu.com/search_result?keyword="&amp;D95,"샤오홍슈 검색 열기")</f>
        <v/>
      </c>
      <c r="F95" s="4">
        <f>HYPERLINK("https://search.shopping.naver.com/search/all?query="&amp;C95,"네이버쇼핑 검색 열기")</f>
        <v/>
      </c>
      <c r="G95" s="5" t="n"/>
      <c r="H95" s="6" t="n"/>
      <c r="I95" s="5" t="n"/>
      <c r="J95" s="6" t="n"/>
      <c r="K95" s="7" t="n"/>
      <c r="L95" s="2" t="inlineStr">
        <is>
          <t>미확인</t>
        </is>
      </c>
      <c r="M95" s="2" t="inlineStr">
        <is>
          <t>미확인</t>
        </is>
      </c>
      <c r="N95" s="8" t="n"/>
      <c r="O95" s="6" t="n"/>
    </row>
    <row r="96">
      <c r="A96" s="2" t="n">
        <v>95</v>
      </c>
      <c r="B96" s="2" t="inlineStr">
        <is>
          <t>생활소품</t>
        </is>
      </c>
      <c r="C96" s="3" t="inlineStr">
        <is>
          <t>샤워기 헤드</t>
        </is>
      </c>
      <c r="D96" s="3" t="inlineStr">
        <is>
          <t>花洒</t>
        </is>
      </c>
      <c r="E96" s="4">
        <f>HYPERLINK("https://www.xiaohongshu.com/search_result?keyword="&amp;D96,"샤오홍슈 검색 열기")</f>
        <v/>
      </c>
      <c r="F96" s="4">
        <f>HYPERLINK("https://search.shopping.naver.com/search/all?query="&amp;C96,"네이버쇼핑 검색 열기")</f>
        <v/>
      </c>
      <c r="G96" s="5" t="n"/>
      <c r="H96" s="6" t="n"/>
      <c r="I96" s="5" t="n"/>
      <c r="J96" s="6" t="n"/>
      <c r="K96" s="7" t="n"/>
      <c r="L96" s="2" t="inlineStr">
        <is>
          <t>미확인</t>
        </is>
      </c>
      <c r="M96" s="2" t="inlineStr">
        <is>
          <t>미확인</t>
        </is>
      </c>
      <c r="N96" s="8" t="n"/>
      <c r="O96" s="6" t="n"/>
    </row>
    <row r="97">
      <c r="A97" s="2" t="n">
        <v>96</v>
      </c>
      <c r="B97" s="2" t="inlineStr">
        <is>
          <t>생활소품</t>
        </is>
      </c>
      <c r="C97" s="3" t="inlineStr">
        <is>
          <t>도어 스토퍼</t>
        </is>
      </c>
      <c r="D97" s="3" t="inlineStr">
        <is>
          <t>门挡</t>
        </is>
      </c>
      <c r="E97" s="4">
        <f>HYPERLINK("https://www.xiaohongshu.com/search_result?keyword="&amp;D97,"샤오홍슈 검색 열기")</f>
        <v/>
      </c>
      <c r="F97" s="4">
        <f>HYPERLINK("https://search.shopping.naver.com/search/all?query="&amp;C97,"네이버쇼핑 검색 열기")</f>
        <v/>
      </c>
      <c r="G97" s="5" t="n"/>
      <c r="H97" s="6" t="n"/>
      <c r="I97" s="5" t="n"/>
      <c r="J97" s="6" t="n"/>
      <c r="K97" s="7" t="n"/>
      <c r="L97" s="2" t="inlineStr">
        <is>
          <t>미확인</t>
        </is>
      </c>
      <c r="M97" s="2" t="inlineStr">
        <is>
          <t>미확인</t>
        </is>
      </c>
      <c r="N97" s="8" t="n"/>
      <c r="O97" s="6" t="n"/>
    </row>
    <row r="98">
      <c r="A98" s="2" t="n">
        <v>97</v>
      </c>
      <c r="B98" s="2" t="inlineStr">
        <is>
          <t>생활소품</t>
        </is>
      </c>
      <c r="C98" s="3" t="inlineStr">
        <is>
          <t>창문 방충망</t>
        </is>
      </c>
      <c r="D98" s="3" t="inlineStr">
        <is>
          <t>防蚊纱窗</t>
        </is>
      </c>
      <c r="E98" s="4">
        <f>HYPERLINK("https://www.xiaohongshu.com/search_result?keyword="&amp;D98,"샤오홍슈 검색 열기")</f>
        <v/>
      </c>
      <c r="F98" s="4">
        <f>HYPERLINK("https://search.shopping.naver.com/search/all?query="&amp;C98,"네이버쇼핑 검색 열기")</f>
        <v/>
      </c>
      <c r="G98" s="5" t="n"/>
      <c r="H98" s="6" t="n"/>
      <c r="I98" s="5" t="n"/>
      <c r="J98" s="6" t="n"/>
      <c r="K98" s="7" t="n"/>
      <c r="L98" s="2" t="inlineStr">
        <is>
          <t>미확인</t>
        </is>
      </c>
      <c r="M98" s="2" t="inlineStr">
        <is>
          <t>미확인</t>
        </is>
      </c>
      <c r="N98" s="8" t="n"/>
      <c r="O98" s="6" t="n"/>
    </row>
    <row r="99">
      <c r="A99" s="2" t="n">
        <v>98</v>
      </c>
      <c r="B99" s="2" t="inlineStr">
        <is>
          <t>생활소품</t>
        </is>
      </c>
      <c r="C99" s="3" t="inlineStr">
        <is>
          <t>모기 퇴치기</t>
        </is>
      </c>
      <c r="D99" s="3" t="inlineStr">
        <is>
          <t>灭蚊灯</t>
        </is>
      </c>
      <c r="E99" s="4">
        <f>HYPERLINK("https://www.xiaohongshu.com/search_result?keyword="&amp;D99,"샤오홍슈 검색 열기")</f>
        <v/>
      </c>
      <c r="F99" s="4">
        <f>HYPERLINK("https://search.shopping.naver.com/search/all?query="&amp;C99,"네이버쇼핑 검색 열기")</f>
        <v/>
      </c>
      <c r="G99" s="5" t="n"/>
      <c r="H99" s="6" t="n"/>
      <c r="I99" s="5" t="n"/>
      <c r="J99" s="6" t="n"/>
      <c r="K99" s="7" t="n"/>
      <c r="L99" s="2" t="inlineStr">
        <is>
          <t>미확인</t>
        </is>
      </c>
      <c r="M99" s="2" t="inlineStr">
        <is>
          <t>미확인</t>
        </is>
      </c>
      <c r="N99" s="8" t="n"/>
      <c r="O99" s="6" t="n"/>
    </row>
    <row r="100">
      <c r="A100" s="2" t="n">
        <v>99</v>
      </c>
      <c r="B100" s="2" t="inlineStr">
        <is>
          <t>생활소품</t>
        </is>
      </c>
      <c r="C100" s="3" t="inlineStr">
        <is>
          <t>캠핑 선풍기</t>
        </is>
      </c>
      <c r="D100" s="3" t="inlineStr">
        <is>
          <t>露营风扇</t>
        </is>
      </c>
      <c r="E100" s="4">
        <f>HYPERLINK("https://www.xiaohongshu.com/search_result?keyword="&amp;D100,"샤오홍슈 검색 열기")</f>
        <v/>
      </c>
      <c r="F100" s="4">
        <f>HYPERLINK("https://search.shopping.naver.com/search/all?query="&amp;C100,"네이버쇼핑 검색 열기")</f>
        <v/>
      </c>
      <c r="G100" s="5" t="n"/>
      <c r="H100" s="6" t="n"/>
      <c r="I100" s="5" t="n"/>
      <c r="J100" s="6" t="n"/>
      <c r="K100" s="7" t="n"/>
      <c r="L100" s="2" t="inlineStr">
        <is>
          <t>미확인</t>
        </is>
      </c>
      <c r="M100" s="2" t="inlineStr">
        <is>
          <t>미확인</t>
        </is>
      </c>
      <c r="N100" s="8" t="n"/>
      <c r="O100" s="6" t="n"/>
    </row>
    <row r="101">
      <c r="A101" s="2" t="n">
        <v>100</v>
      </c>
      <c r="B101" s="2" t="inlineStr">
        <is>
          <t>생활소품</t>
        </is>
      </c>
      <c r="C101" s="3" t="inlineStr">
        <is>
          <t>차량용 선풍기</t>
        </is>
      </c>
      <c r="D101" s="3" t="inlineStr">
        <is>
          <t>车载风扇</t>
        </is>
      </c>
      <c r="E101" s="4">
        <f>HYPERLINK("https://www.xiaohongshu.com/search_result?keyword="&amp;D101,"샤오홍슈 검색 열기")</f>
        <v/>
      </c>
      <c r="F101" s="4">
        <f>HYPERLINK("https://search.shopping.naver.com/search/all?query="&amp;C101,"네이버쇼핑 검색 열기")</f>
        <v/>
      </c>
      <c r="G101" s="5" t="n"/>
      <c r="H101" s="6" t="n"/>
      <c r="I101" s="5" t="n"/>
      <c r="J101" s="6" t="n"/>
      <c r="K101" s="7" t="n"/>
      <c r="L101" s="2" t="inlineStr">
        <is>
          <t>미확인</t>
        </is>
      </c>
      <c r="M101" s="2" t="inlineStr">
        <is>
          <t>미확인</t>
        </is>
      </c>
      <c r="N101" s="8" t="n"/>
      <c r="O101" s="6" t="n"/>
    </row>
  </sheetData>
  <autoFilter ref="A1:O101"/>
  <dataValidations count="2">
    <dataValidation sqref="L2:L101" showDropDown="0" showInputMessage="0" showErrorMessage="1" allowBlank="1" errorTitle="입력 오류" error="목록에서 고르세요: 일치 / 유사 / 불일치 / 미확인" type="list">
      <formula1>"일치,유사,불일치,미확인"</formula1>
    </dataValidation>
    <dataValidation sqref="M2:M101" showDropDown="0" showInputMessage="0" showErrorMessage="1" allowBlank="1" errorTitle="입력 오류" error="목록에서 고르세요: 원작자 허락받음 / 직접 촬영 / 미확인 / 사용 불가" type="list">
      <formula1>"원작자 허락받음,직접 촬영,미확인,사용 불가"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9" t="inlineStr">
        <is>
          <t>항목</t>
        </is>
      </c>
      <c r="B1" s="10" t="inlineStr">
        <is>
          <t>값</t>
        </is>
      </c>
    </row>
    <row r="2">
      <c r="A2" s="11" t="inlineStr">
        <is>
          <t>샤오홍슈 영상 URL 입력 수</t>
        </is>
      </c>
      <c r="B2" s="12">
        <f>COUNTA(매칭목록!G2:G101)</f>
        <v/>
      </c>
    </row>
    <row r="3">
      <c r="A3" s="11" t="inlineStr">
        <is>
          <t>네이버 상품 URL 입력 수</t>
        </is>
      </c>
      <c r="B3" s="12">
        <f>COUNTA(매칭목록!I2:I101)</f>
        <v/>
      </c>
    </row>
    <row r="4">
      <c r="A4" s="11" t="inlineStr">
        <is>
          <t>일치</t>
        </is>
      </c>
      <c r="B4" s="12">
        <f>COUNTIF(매칭목록!L2:L101,"일치")</f>
        <v/>
      </c>
    </row>
    <row r="5">
      <c r="A5" s="11" t="inlineStr">
        <is>
          <t>유사</t>
        </is>
      </c>
      <c r="B5" s="12">
        <f>COUNTIF(매칭목록!L2:L101,"유사")</f>
        <v/>
      </c>
    </row>
    <row r="6">
      <c r="A6" s="11" t="inlineStr">
        <is>
          <t>불일치</t>
        </is>
      </c>
      <c r="B6" s="12">
        <f>COUNTIF(매칭목록!L2:L101,"불일치")</f>
        <v/>
      </c>
    </row>
    <row r="7">
      <c r="A7" s="11" t="inlineStr">
        <is>
          <t>미확인</t>
        </is>
      </c>
      <c r="B7" s="12">
        <f>COUNTIF(매칭목록!L2:L101,"미확인")</f>
        <v/>
      </c>
    </row>
    <row r="8">
      <c r="A8" s="11" t="inlineStr">
        <is>
          <t>원작자 허락받음</t>
        </is>
      </c>
      <c r="B8" s="12">
        <f>COUNTIF(매칭목록!M2:M101,"원작자 허락받음")</f>
        <v/>
      </c>
    </row>
    <row r="9">
      <c r="A9" s="11" t="inlineStr">
        <is>
          <t>직접 촬영</t>
        </is>
      </c>
      <c r="B9" s="12">
        <f>COUNTIF(매칭목록!M2:M101,"직접 촬영")</f>
        <v/>
      </c>
    </row>
    <row r="10">
      <c r="A10" s="11" t="inlineStr">
        <is>
          <t>사용 가능 (일치 + 허락/직접촬영)</t>
        </is>
      </c>
      <c r="B10" s="12">
        <f>SUMPRODUCT((매칭목록!L2:L101="일치")*((매칭목록!M2:M101="원작자 허락받음")+(매칭목록!M2:M101="직접 촬영")))</f>
        <v/>
      </c>
    </row>
    <row r="11">
      <c r="A11" s="11" t="inlineStr">
        <is>
          <t>남은 작업(URL 미입력 행)</t>
        </is>
      </c>
      <c r="B11" s="12">
        <f>100-COUNTA(매칭목록!G2:G101)</f>
        <v/>
      </c>
    </row>
    <row r="13">
      <c r="A13" s="13" t="inlineStr">
        <is>
          <t>※ 값은 '매칭목록' 시트를 채우면 자동으로 바뀝니다.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4" t="inlineStr">
        <is>
          <t>샤오홍슈 제품 영상 ↔ 네이버쇼핑 판매 상품 매칭 정리표 (100개)</t>
        </is>
      </c>
    </row>
    <row r="2">
      <c r="A2" s="15" t="inlineStr">
        <is>
          <t>작성일: 2026-09-18</t>
        </is>
      </c>
    </row>
    <row r="3">
      <c r="A3" s="15" t="inlineStr"/>
    </row>
    <row r="4">
      <c r="A4" s="16" t="inlineStr">
        <is>
          <t>[중요] 이 파일에는 영상 주소가 미리 들어 있지 않습니다.</t>
        </is>
      </c>
    </row>
    <row r="5">
      <c r="A5" s="15" t="inlineStr">
        <is>
          <t>샤오홍슈(xiaohongshu.com)와 네이버쇼핑은 자동 프로그램의 접속을 막고 있어, 영상 주소를 자동으로 모을 수 없었습니다.</t>
        </is>
      </c>
    </row>
    <row r="6">
      <c r="A6" s="15" t="inlineStr">
        <is>
          <t>확인되지 않은 주소를 지어내지 않기 위해, 검색어 100개와 검색 링크, 입력 칸을 준비했습니다. 영상 주소는 사용자가 직접 확인해서 붙여넣습니다.</t>
        </is>
      </c>
    </row>
    <row r="7">
      <c r="A7" s="15" t="inlineStr"/>
    </row>
    <row r="8">
      <c r="A8" s="16" t="inlineStr">
        <is>
          <t>[색 안내]</t>
        </is>
      </c>
    </row>
    <row r="9">
      <c r="A9" s="15" t="inlineStr">
        <is>
          <t>파란 글씨(C·D열): 검색어. 원하는 제품으로 바꿔도 됩니다. 바꾸면 E·F열 검색 링크가 자동으로 따라 바뀝니다.</t>
        </is>
      </c>
    </row>
    <row r="10">
      <c r="A10" s="15" t="inlineStr">
        <is>
          <t>노란 칸(G·I열): 반드시 채워야 하는 칸. 샤오홍슈 영상 주소와 네이버 상품 주소.</t>
        </is>
      </c>
    </row>
    <row r="11">
      <c r="A11" s="15" t="inlineStr">
        <is>
          <t>E·F열: 클릭하면 브라우저에서 검색 결과가 열립니다. (수식이므로 지우지 마세요)</t>
        </is>
      </c>
    </row>
    <row r="12">
      <c r="A12" s="15" t="inlineStr"/>
    </row>
    <row r="13">
      <c r="A13" s="16" t="inlineStr">
        <is>
          <t>[작업 순서]</t>
        </is>
      </c>
    </row>
    <row r="14">
      <c r="A14" s="15" t="inlineStr">
        <is>
          <t>1단계. '매칭목록' 시트에서 E열 '샤오홍슈 검색 열기'를 클릭합니다. (샤오홍슈는 로그인해야 영상이 보이는 경우가 많습니다)</t>
        </is>
      </c>
    </row>
    <row r="15">
      <c r="A15" s="15" t="inlineStr">
        <is>
          <t>2단계. 제품이 잘 보이는 영상 하나를 열고, 주소창의 주소를 복사해 G열에 붙여넣습니다.</t>
        </is>
      </c>
    </row>
    <row r="16">
      <c r="A16" s="15" t="inlineStr">
        <is>
          <t xml:space="preserve">        샤오홍슈 영상 주소 형식 예: https://www.xiaohongshu.com/explore/ 뒤에 영어·숫자로 된 고유번호</t>
        </is>
      </c>
    </row>
    <row r="17">
      <c r="A17" s="15" t="inlineStr">
        <is>
          <t>3단계. 영상에 나온 제품 특징(색, 모양, 기능)을 H열에 한 줄로 적습니다.</t>
        </is>
      </c>
    </row>
    <row r="18">
      <c r="A18" s="15" t="inlineStr">
        <is>
          <t>4단계. F열 '네이버쇼핑 검색 열기'를 클릭해 같은 제품을 찾고, 상품 주소를 I열, 상품명을 J열, 가격을 K열에 적습니다.</t>
        </is>
      </c>
    </row>
    <row r="19">
      <c r="A19" s="15" t="inlineStr">
        <is>
          <t xml:space="preserve">        네이버 상품 주소 형식 예: https://smartstore.naver.com/스토어이름/products/숫자</t>
        </is>
      </c>
    </row>
    <row r="20">
      <c r="A20" s="15" t="inlineStr">
        <is>
          <t>5단계. L열에서 일치 / 유사 / 불일치 중 하나를 고릅니다. (드롭다운)</t>
        </is>
      </c>
    </row>
    <row r="21">
      <c r="A21" s="15" t="inlineStr">
        <is>
          <t>6단계. M열에서 영상 사용 허가 상태를 고릅니다. 남의 영상을 허락 없이 내 클립에 올리면 저작권 문제로 삭제·제재될 수 있습니다.</t>
        </is>
      </c>
    </row>
    <row r="22">
      <c r="A22" s="15" t="inlineStr">
        <is>
          <t>7단계. N열에 확인한 날짜를 적습니다. '요약' 시트에서 진행 상황을 확인합니다.</t>
        </is>
      </c>
    </row>
    <row r="23">
      <c r="A23" s="15" t="inlineStr"/>
    </row>
    <row r="24">
      <c r="A24" s="16" t="inlineStr">
        <is>
          <t>[주의]</t>
        </is>
      </c>
    </row>
    <row r="25">
      <c r="A25" s="15" t="inlineStr">
        <is>
          <t>- 샤오홍슈 영상은 원작자 허락 없이 그대로 재업로드하지 않습니다. 참고용(촬영 구도·구성 아이디어)으로만 쓰거나, 허락을 받은 뒤 사용합니다.</t>
        </is>
      </c>
    </row>
    <row r="26">
      <c r="A26" s="15" t="inlineStr">
        <is>
          <t>- 네이버 상품이 '유사'인 경우 영상 속 제품과 실제 판매 제품이 다를 수 있으므로 클립에 '동일 제품'이라고 쓰지 않습니다.</t>
        </is>
      </c>
    </row>
    <row r="27">
      <c r="A27" s="15" t="inlineStr">
        <is>
          <t>- 가격은 확인한 날짜 기준입니다. 시간이 지나면 달라질 수 있습니다.</t>
        </is>
      </c>
    </row>
    <row r="28">
      <c r="A28" s="15" t="inlineStr">
        <is>
          <t>- 검색어의 중국어 번역은 일반적인 표현으로 넣었습니다. 검색 결과가 적으면 D열을 다른 표현으로 바꿔 보세요.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2026-09-18T10:25:55Z</dcterms:created>
  <dcterms:modified xsi:type="dcterms:W3CDTF">2026-09-18T10:25:55Z</dcterms:modified>
</cp:coreProperties>
</file>